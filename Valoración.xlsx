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jandro\Proyectos\Valoracion\"/>
    </mc:Choice>
  </mc:AlternateContent>
  <xr:revisionPtr revIDLastSave="0" documentId="13_ncr:1_{8B2EAD1B-F3CA-4140-BF9D-794E24CCFAD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osAgregados" sheetId="10" r:id="rId1"/>
    <sheet name="DatosDesagreg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84" i="3"/>
  <c r="K85" i="3"/>
  <c r="K86" i="3"/>
  <c r="K87" i="3"/>
  <c r="K88" i="3"/>
  <c r="K89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90" i="3"/>
  <c r="K91" i="3"/>
  <c r="K92" i="3"/>
  <c r="K93" i="3"/>
  <c r="K94" i="3"/>
  <c r="K95" i="3"/>
  <c r="K96" i="3"/>
  <c r="K97" i="3"/>
  <c r="K98" i="3"/>
  <c r="K65" i="3"/>
  <c r="K66" i="3"/>
  <c r="K67" i="3"/>
  <c r="K68" i="3"/>
  <c r="K69" i="3"/>
  <c r="K70" i="3"/>
  <c r="K71" i="3"/>
  <c r="K72" i="3"/>
  <c r="K73" i="3"/>
  <c r="K74" i="3"/>
  <c r="K99" i="3"/>
  <c r="K100" i="3"/>
  <c r="K101" i="3"/>
  <c r="K102" i="3"/>
  <c r="K103" i="3"/>
  <c r="K104" i="3"/>
  <c r="K105" i="3"/>
  <c r="K106" i="3"/>
  <c r="K107" i="3"/>
  <c r="K75" i="3"/>
  <c r="K76" i="3"/>
  <c r="K77" i="3"/>
  <c r="K78" i="3"/>
  <c r="K79" i="3"/>
  <c r="K80" i="3"/>
  <c r="K81" i="3"/>
  <c r="K82" i="3"/>
  <c r="K83" i="3"/>
  <c r="K2" i="3"/>
</calcChain>
</file>

<file path=xl/sharedStrings.xml><?xml version="1.0" encoding="utf-8"?>
<sst xmlns="http://schemas.openxmlformats.org/spreadsheetml/2006/main" count="656" uniqueCount="181">
  <si>
    <t>NOMBRE</t>
  </si>
  <si>
    <t>JUNIOR</t>
  </si>
  <si>
    <t>SOLICITUD</t>
  </si>
  <si>
    <t>MODALIDAD</t>
  </si>
  <si>
    <r>
      <t xml:space="preserve">Viabilidad económica y financiera </t>
    </r>
    <r>
      <rPr>
        <b/>
        <sz val="11"/>
        <color theme="1"/>
        <rFont val="Calibri"/>
        <family val="2"/>
        <scheme val="minor"/>
      </rPr>
      <t>(20%</t>
    </r>
    <r>
      <rPr>
        <sz val="11"/>
        <color theme="1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</si>
  <si>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Originalidad y creatividad </t>
    </r>
    <r>
      <rPr>
        <b/>
        <sz val="11"/>
        <color theme="1"/>
        <rFont val="Calibri"/>
        <family val="2"/>
        <scheme val="minor"/>
      </rPr>
      <t>(25%</t>
    </r>
    <r>
      <rPr>
        <sz val="11"/>
        <color theme="1"/>
        <rFont val="Calibri"/>
        <family val="2"/>
        <scheme val="minor"/>
      </rPr>
      <t>)</t>
    </r>
  </si>
  <si>
    <r>
      <t>Potencial de impacto social y medioambiental (</t>
    </r>
    <r>
      <rPr>
        <b/>
        <sz val="11"/>
        <color theme="1"/>
        <rFont val="Calibri"/>
        <family val="2"/>
        <scheme val="minor"/>
      </rPr>
      <t>25%</t>
    </r>
    <r>
      <rPr>
        <sz val="11"/>
        <color theme="1"/>
        <rFont val="Calibri"/>
        <family val="2"/>
        <scheme val="minor"/>
      </rPr>
      <t>)</t>
    </r>
  </si>
  <si>
    <r>
      <t>Equipo emprendedor y capacidades (</t>
    </r>
    <r>
      <rPr>
        <b/>
        <sz val="11"/>
        <color theme="1"/>
        <rFont val="Calibri"/>
        <family val="2"/>
        <scheme val="minor"/>
      </rPr>
      <t>20%</t>
    </r>
    <r>
      <rPr>
        <sz val="11"/>
        <color theme="1"/>
        <rFont val="Calibri"/>
        <family val="2"/>
        <scheme val="minor"/>
      </rPr>
      <t>)</t>
    </r>
  </si>
  <si>
    <r>
      <t>Plan de ejecución y estrategia de marketing (</t>
    </r>
    <r>
      <rPr>
        <b/>
        <sz val="11"/>
        <color theme="1"/>
        <rFont val="Calibri"/>
        <family val="2"/>
        <scheme val="minor"/>
      </rPr>
      <t>10%</t>
    </r>
    <r>
      <rPr>
        <sz val="11"/>
        <color theme="1"/>
        <rFont val="Calibri"/>
        <family val="2"/>
        <scheme val="minor"/>
      </rPr>
      <t>)</t>
    </r>
  </si>
  <si>
    <t>2025/UCO008/114856</t>
  </si>
  <si>
    <t>Ortiz Jiménez</t>
  </si>
  <si>
    <t>María Isabel</t>
  </si>
  <si>
    <t>2025/UCO008/114934</t>
  </si>
  <si>
    <t>Echeverry Castaño</t>
  </si>
  <si>
    <t>Daniel</t>
  </si>
  <si>
    <t>2025/UCO008/115122</t>
  </si>
  <si>
    <t>Jiménez Prieto</t>
  </si>
  <si>
    <t>José Luis</t>
  </si>
  <si>
    <t>2025/UCO008/114947</t>
  </si>
  <si>
    <t>López y Villanueva</t>
  </si>
  <si>
    <t>Ignacio</t>
  </si>
  <si>
    <t>2025/UCO008/115096</t>
  </si>
  <si>
    <t>Gigante Martínez de Morentín</t>
  </si>
  <si>
    <t>Jesús</t>
  </si>
  <si>
    <t>2025/UCO008/115161</t>
  </si>
  <si>
    <t>Gil Luján</t>
  </si>
  <si>
    <t>Guillermo</t>
  </si>
  <si>
    <t>2025/UCO008/115173</t>
  </si>
  <si>
    <t>Castro Almagro</t>
  </si>
  <si>
    <t>Jimena</t>
  </si>
  <si>
    <t>2025/UCO008/115185</t>
  </si>
  <si>
    <t>Otero Lara</t>
  </si>
  <si>
    <t>Antonio</t>
  </si>
  <si>
    <t>APELLIDOS</t>
  </si>
  <si>
    <t>2025/UCO008/113570</t>
  </si>
  <si>
    <t>López Valero</t>
  </si>
  <si>
    <t>María</t>
  </si>
  <si>
    <t>2025/UCO008/113980</t>
  </si>
  <si>
    <t xml:space="preserve">Lozano Pérez </t>
  </si>
  <si>
    <t>Nuria</t>
  </si>
  <si>
    <t>2025/UCO008/114219</t>
  </si>
  <si>
    <t>Villa López</t>
  </si>
  <si>
    <t>Pedro Jesús</t>
  </si>
  <si>
    <t>2025/UCO008/114430</t>
  </si>
  <si>
    <t xml:space="preserve">Prieto Díaz </t>
  </si>
  <si>
    <t xml:space="preserve">Samuel </t>
  </si>
  <si>
    <t>2025/UCO008/114549</t>
  </si>
  <si>
    <t>Aguilar Baena</t>
  </si>
  <si>
    <t>Beatriz</t>
  </si>
  <si>
    <t>2025/UCO008/114573</t>
  </si>
  <si>
    <t>Cerezo Romero</t>
  </si>
  <si>
    <t>Álvaro</t>
  </si>
  <si>
    <t>2025/UCO008/114577</t>
  </si>
  <si>
    <t>Jiménez Sánchez</t>
  </si>
  <si>
    <t>2025/UCO008/114580</t>
  </si>
  <si>
    <t>Cantón Gómez</t>
  </si>
  <si>
    <t>Irene</t>
  </si>
  <si>
    <t>2025/UCO008/114709</t>
  </si>
  <si>
    <t>Rodríguez Ruiz</t>
  </si>
  <si>
    <t>Sergio</t>
  </si>
  <si>
    <t>2025/UCO008/114717</t>
  </si>
  <si>
    <t>Serrano Acosta</t>
  </si>
  <si>
    <t>2025/UCO008/114723</t>
  </si>
  <si>
    <t>García Guillén</t>
  </si>
  <si>
    <t>Natalia</t>
  </si>
  <si>
    <t>2025/UCO008/114623</t>
  </si>
  <si>
    <t>Galán Pulido</t>
  </si>
  <si>
    <t>Juan Rafael</t>
  </si>
  <si>
    <t>2025/UCO008/114713</t>
  </si>
  <si>
    <t xml:space="preserve">García Morillo </t>
  </si>
  <si>
    <t>David</t>
  </si>
  <si>
    <t>2025/UCO008/114770</t>
  </si>
  <si>
    <t>Sobrino Gonçalves</t>
  </si>
  <si>
    <t>2025/UCO008/110807</t>
  </si>
  <si>
    <t>Barona Alba</t>
  </si>
  <si>
    <t>Rubén</t>
  </si>
  <si>
    <t>2025/UCO008/114804</t>
  </si>
  <si>
    <t>Cantillo Rueda</t>
  </si>
  <si>
    <t>2025/UCO008/114820</t>
  </si>
  <si>
    <t>Laguna Tenllado</t>
  </si>
  <si>
    <t>Darío</t>
  </si>
  <si>
    <t>SENIOR</t>
  </si>
  <si>
    <t>2025/UCO008/114719</t>
  </si>
  <si>
    <t>Ramírez Merinas</t>
  </si>
  <si>
    <t>Alberto</t>
  </si>
  <si>
    <t>2025/UCO008/114823</t>
  </si>
  <si>
    <t>Chávez Peraza</t>
  </si>
  <si>
    <t>Miriam</t>
  </si>
  <si>
    <t>2025/UCO008/115034</t>
  </si>
  <si>
    <t>Gouveia Marx</t>
  </si>
  <si>
    <t>Itala María</t>
  </si>
  <si>
    <t>2025/UCO008/115059</t>
  </si>
  <si>
    <t>Mármol Ruiz</t>
  </si>
  <si>
    <t>Natividad</t>
  </si>
  <si>
    <t>2025/UCO008/115174</t>
  </si>
  <si>
    <t>Collado Rojas</t>
  </si>
  <si>
    <t>Juan Antonio</t>
  </si>
  <si>
    <t>2025/UCO008/115195</t>
  </si>
  <si>
    <t>Fuentes Collado</t>
  </si>
  <si>
    <t>Miguel</t>
  </si>
  <si>
    <t>2025/UCO008/114594</t>
  </si>
  <si>
    <t>Rosa Linares</t>
  </si>
  <si>
    <t>Alba María</t>
  </si>
  <si>
    <t>2025/UCO008/114620</t>
  </si>
  <si>
    <t>López Galindo</t>
  </si>
  <si>
    <t>Paula</t>
  </si>
  <si>
    <t>2025/UCO008/114629</t>
  </si>
  <si>
    <t>Pavón Díaz</t>
  </si>
  <si>
    <t>Victor</t>
  </si>
  <si>
    <t>2025/UCO008/114650</t>
  </si>
  <si>
    <t>Luque Serrano</t>
  </si>
  <si>
    <t>Javier</t>
  </si>
  <si>
    <t>2025/UCO008/114663</t>
  </si>
  <si>
    <t>Martín Fúnez</t>
  </si>
  <si>
    <t>Elena</t>
  </si>
  <si>
    <t>2025/UCO008/114677</t>
  </si>
  <si>
    <t>Soler Salcés</t>
  </si>
  <si>
    <t>Francisco</t>
  </si>
  <si>
    <t>2025/UCO008/114691</t>
  </si>
  <si>
    <t>Reyes Martínez</t>
  </si>
  <si>
    <t>Nerea</t>
  </si>
  <si>
    <t>2025/UCO008/114694</t>
  </si>
  <si>
    <t>Cuesta Urbano</t>
  </si>
  <si>
    <t>Ana</t>
  </si>
  <si>
    <t>2025/UCO008/113702</t>
  </si>
  <si>
    <t>Salguero del Ojo</t>
  </si>
  <si>
    <t>Dolores</t>
  </si>
  <si>
    <t>2025/UCO008/113682</t>
  </si>
  <si>
    <t>Serrano Sosa</t>
  </si>
  <si>
    <t>2025/UCO008/110721</t>
  </si>
  <si>
    <t>2025/UCO008/113878</t>
  </si>
  <si>
    <t>Gutiérrez García</t>
  </si>
  <si>
    <t>Pulido Velasco</t>
  </si>
  <si>
    <t xml:space="preserve">Álvaro </t>
  </si>
  <si>
    <t xml:space="preserve">Nuria </t>
  </si>
  <si>
    <t>2025/UCO008/111896</t>
  </si>
  <si>
    <t>Echegaray Mitar</t>
  </si>
  <si>
    <t>Gala</t>
  </si>
  <si>
    <t>2025/UCO008/112906</t>
  </si>
  <si>
    <t>Castillo Tienda</t>
  </si>
  <si>
    <t>Carla</t>
  </si>
  <si>
    <t>2025/UCO008/109893</t>
  </si>
  <si>
    <t>Cantarero Carmona</t>
  </si>
  <si>
    <t>Irene María</t>
  </si>
  <si>
    <t>2025/UCO008/113707</t>
  </si>
  <si>
    <t>García Martínez</t>
  </si>
  <si>
    <t>2025/UCO008/113748</t>
  </si>
  <si>
    <t>Serrano Muñoz</t>
  </si>
  <si>
    <t>Raisa Rafaela</t>
  </si>
  <si>
    <t>2025/UCO008/113920</t>
  </si>
  <si>
    <t>De la Cuesta Gómez</t>
  </si>
  <si>
    <t>Joaquín</t>
  </si>
  <si>
    <t>2025/UCO008/114312</t>
  </si>
  <si>
    <t>Ruiz Díaz</t>
  </si>
  <si>
    <t>Carlos</t>
  </si>
  <si>
    <t>2025/UCO008/114692</t>
  </si>
  <si>
    <t>Ávila Jiménez</t>
  </si>
  <si>
    <t xml:space="preserve">Collado Rojas, Juan Antonio </t>
  </si>
  <si>
    <t xml:space="preserve">Fuentes Collado, Miguel </t>
  </si>
  <si>
    <t xml:space="preserve">Mármol Ruiz, Natividad </t>
  </si>
  <si>
    <t>2025/UCO008/113877</t>
  </si>
  <si>
    <t>Roldán López</t>
  </si>
  <si>
    <t xml:space="preserve">María del Pilar </t>
  </si>
  <si>
    <t>2025/UCO008/113909</t>
  </si>
  <si>
    <t>Recio Molina</t>
  </si>
  <si>
    <t xml:space="preserve">Carlos Ángel </t>
  </si>
  <si>
    <t>Ramírez Merino,</t>
  </si>
  <si>
    <t>Gouveia Marx,</t>
  </si>
  <si>
    <t>Chávez Peraza,</t>
  </si>
  <si>
    <t>María del Pilar</t>
  </si>
  <si>
    <t>Carlos Ángel</t>
  </si>
  <si>
    <t>6.5</t>
  </si>
  <si>
    <t>Total</t>
  </si>
  <si>
    <t xml:space="preserve">Viabilidad económica y financiera (20%) </t>
  </si>
  <si>
    <t>Originalidad y creatividad (25%)</t>
  </si>
  <si>
    <t>Potencial de impacto social y medioambiental (25%)</t>
  </si>
  <si>
    <t>Plan de ejecución y estrategia de marketing (10%)</t>
  </si>
  <si>
    <t>Equipo emprendedor y capacidades (20%)</t>
  </si>
  <si>
    <t>Eval1</t>
  </si>
  <si>
    <t>Eval2</t>
  </si>
  <si>
    <t>EVALUADOR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</si>
</sst>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/>
    <xf numFmtId="0" fontId="1" fillId="3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/>
    </xf>
    <xf numFmtId="165" fontId="0" fillId="5" borderId="1" xfId="0" applyNumberFormat="1" applyFill="1" applyBorder="1" applyAlignment="1">
      <alignment horizontal="right"/>
    </xf>
    <xf numFmtId="165" fontId="0" fillId="4" borderId="1" xfId="0" applyNumberFormat="1" applyFill="1" applyBorder="1" applyAlignment="1">
      <alignment horizontal="right" vertical="center"/>
    </xf>
    <xf numFmtId="165" fontId="0" fillId="3" borderId="1" xfId="1" applyNumberFormat="1" applyFont="1" applyFill="1" applyBorder="1" applyAlignment="1">
      <alignment horizontal="right"/>
    </xf>
    <xf numFmtId="165" fontId="0" fillId="3" borderId="3" xfId="0" applyNumberFormat="1" applyFill="1" applyBorder="1" applyAlignment="1">
      <alignment horizontal="right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2" borderId="4" xfId="0" applyFill="1" applyBorder="1" applyAlignment="1">
      <alignment vertical="top" wrapText="1"/>
    </xf>
    <xf numFmtId="165" fontId="0" fillId="0" borderId="0" xfId="0" applyNumberFormat="1"/>
    <xf numFmtId="4" fontId="0" fillId="0" borderId="0" xfId="0" applyNumberFormat="1"/>
    <xf numFmtId="0" fontId="1" fillId="6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5E1B-1525-4673-90F8-96664BDCA3B5}">
  <dimension ref="A1:H54"/>
  <sheetViews>
    <sheetView zoomScale="70" zoomScaleNormal="70" workbookViewId="0"/>
  </sheetViews>
  <sheetFormatPr baseColWidth="10" defaultRowHeight="15" x14ac:dyDescent="0.25"/>
  <cols>
    <col min="1" max="1" width="19.5703125" customWidth="1"/>
    <col min="2" max="2" width="22.85546875" bestFit="1" customWidth="1"/>
    <col min="3" max="8" width="19.5703125" customWidth="1"/>
  </cols>
  <sheetData>
    <row r="1" spans="1:8" x14ac:dyDescent="0.25">
      <c r="A1" s="19" t="s">
        <v>3</v>
      </c>
      <c r="B1" s="19" t="s">
        <v>2</v>
      </c>
      <c r="C1" s="19" t="s">
        <v>173</v>
      </c>
      <c r="D1" s="19" t="s">
        <v>174</v>
      </c>
      <c r="E1" s="19" t="s">
        <v>175</v>
      </c>
      <c r="F1" s="19" t="s">
        <v>177</v>
      </c>
      <c r="G1" s="19" t="s">
        <v>176</v>
      </c>
      <c r="H1" s="19" t="s">
        <v>172</v>
      </c>
    </row>
    <row r="2" spans="1:8" x14ac:dyDescent="0.25">
      <c r="A2" t="s">
        <v>1</v>
      </c>
      <c r="B2" t="s">
        <v>103</v>
      </c>
      <c r="C2" s="18">
        <v>16</v>
      </c>
      <c r="D2" s="18">
        <v>22.5</v>
      </c>
      <c r="E2" s="18">
        <v>23.75</v>
      </c>
      <c r="F2" s="18">
        <v>16.5</v>
      </c>
      <c r="G2" s="18">
        <v>8</v>
      </c>
      <c r="H2" s="18">
        <v>86.75</v>
      </c>
    </row>
    <row r="3" spans="1:8" x14ac:dyDescent="0.25">
      <c r="A3" t="s">
        <v>1</v>
      </c>
      <c r="B3" t="s">
        <v>43</v>
      </c>
      <c r="C3" s="18">
        <v>12.25</v>
      </c>
      <c r="D3" s="18">
        <v>22.5</v>
      </c>
      <c r="E3" s="18">
        <v>22.5</v>
      </c>
      <c r="F3" s="18">
        <v>18.5</v>
      </c>
      <c r="G3" s="18">
        <v>9.5</v>
      </c>
      <c r="H3" s="18">
        <v>85.25</v>
      </c>
    </row>
    <row r="4" spans="1:8" x14ac:dyDescent="0.25">
      <c r="A4" t="s">
        <v>1</v>
      </c>
      <c r="B4" t="s">
        <v>106</v>
      </c>
      <c r="C4" s="18">
        <v>17.75</v>
      </c>
      <c r="D4" s="18">
        <v>20.3125</v>
      </c>
      <c r="E4" s="18">
        <v>21.875</v>
      </c>
      <c r="F4" s="18">
        <v>16.25</v>
      </c>
      <c r="G4" s="18">
        <v>8.375</v>
      </c>
      <c r="H4" s="18">
        <v>84.5625</v>
      </c>
    </row>
    <row r="5" spans="1:8" x14ac:dyDescent="0.25">
      <c r="A5" t="s">
        <v>1</v>
      </c>
      <c r="B5" t="s">
        <v>109</v>
      </c>
      <c r="C5" s="18">
        <v>14.5</v>
      </c>
      <c r="D5" s="18">
        <v>24.375</v>
      </c>
      <c r="E5" s="18">
        <v>21.875</v>
      </c>
      <c r="F5" s="18">
        <v>16.5</v>
      </c>
      <c r="G5" s="18">
        <v>7</v>
      </c>
      <c r="H5" s="18">
        <v>84.25</v>
      </c>
    </row>
    <row r="6" spans="1:8" x14ac:dyDescent="0.25">
      <c r="A6" t="s">
        <v>1</v>
      </c>
      <c r="B6" t="s">
        <v>127</v>
      </c>
      <c r="C6" s="18">
        <v>18</v>
      </c>
      <c r="D6" s="18">
        <v>20.5</v>
      </c>
      <c r="E6" s="18">
        <v>17.75</v>
      </c>
      <c r="F6" s="18">
        <v>17</v>
      </c>
      <c r="G6" s="18">
        <v>7</v>
      </c>
      <c r="H6" s="18">
        <v>80.25</v>
      </c>
    </row>
    <row r="7" spans="1:8" x14ac:dyDescent="0.25">
      <c r="A7" t="s">
        <v>1</v>
      </c>
      <c r="B7" t="s">
        <v>135</v>
      </c>
      <c r="C7" s="18">
        <v>16</v>
      </c>
      <c r="D7" s="18">
        <v>20.5</v>
      </c>
      <c r="E7" s="18">
        <v>21</v>
      </c>
      <c r="F7" s="18">
        <v>13.5</v>
      </c>
      <c r="G7" s="18">
        <v>9</v>
      </c>
      <c r="H7" s="18">
        <v>80</v>
      </c>
    </row>
    <row r="8" spans="1:8" x14ac:dyDescent="0.25">
      <c r="A8" t="s">
        <v>1</v>
      </c>
      <c r="B8" t="s">
        <v>100</v>
      </c>
      <c r="C8" s="18">
        <v>15.75</v>
      </c>
      <c r="D8" s="18">
        <v>23.75</v>
      </c>
      <c r="E8" s="18">
        <v>16.5625</v>
      </c>
      <c r="F8" s="18">
        <v>16.25</v>
      </c>
      <c r="G8" s="18">
        <v>7.375</v>
      </c>
      <c r="H8" s="18">
        <v>79.6875</v>
      </c>
    </row>
    <row r="9" spans="1:8" x14ac:dyDescent="0.25">
      <c r="A9" t="s">
        <v>1</v>
      </c>
      <c r="B9" t="s">
        <v>112</v>
      </c>
      <c r="C9" s="18">
        <v>15.5</v>
      </c>
      <c r="D9" s="18">
        <v>20.3125</v>
      </c>
      <c r="E9" s="18">
        <v>20</v>
      </c>
      <c r="F9" s="18">
        <v>16.25</v>
      </c>
      <c r="G9" s="18">
        <v>7.5</v>
      </c>
      <c r="H9" s="18">
        <v>79.5625</v>
      </c>
    </row>
    <row r="10" spans="1:8" x14ac:dyDescent="0.25">
      <c r="A10" t="s">
        <v>1</v>
      </c>
      <c r="B10" t="s">
        <v>115</v>
      </c>
      <c r="C10" s="18">
        <v>15.5</v>
      </c>
      <c r="D10" s="18">
        <v>18.125</v>
      </c>
      <c r="E10" s="18">
        <v>22.5</v>
      </c>
      <c r="F10" s="18">
        <v>15.75</v>
      </c>
      <c r="G10" s="18">
        <v>7.5</v>
      </c>
      <c r="H10" s="18">
        <v>79.375</v>
      </c>
    </row>
    <row r="11" spans="1:8" x14ac:dyDescent="0.25">
      <c r="A11" t="s">
        <v>1</v>
      </c>
      <c r="B11" t="s">
        <v>21</v>
      </c>
      <c r="C11" s="18">
        <v>17</v>
      </c>
      <c r="D11" s="18">
        <v>17.5</v>
      </c>
      <c r="E11" s="18">
        <v>21.5</v>
      </c>
      <c r="F11" s="18">
        <v>17.5</v>
      </c>
      <c r="G11" s="18">
        <v>5.5</v>
      </c>
      <c r="H11" s="18">
        <v>79</v>
      </c>
    </row>
    <row r="12" spans="1:8" x14ac:dyDescent="0.25">
      <c r="A12" t="s">
        <v>1</v>
      </c>
      <c r="B12" t="s">
        <v>121</v>
      </c>
      <c r="C12" s="18">
        <v>15.25</v>
      </c>
      <c r="D12" s="18">
        <v>21.25</v>
      </c>
      <c r="E12" s="18">
        <v>17.5</v>
      </c>
      <c r="F12" s="18">
        <v>17.75</v>
      </c>
      <c r="G12" s="18">
        <v>6.75</v>
      </c>
      <c r="H12" s="18">
        <v>78.5</v>
      </c>
    </row>
    <row r="13" spans="1:8" x14ac:dyDescent="0.25">
      <c r="A13" t="s">
        <v>1</v>
      </c>
      <c r="B13" t="s">
        <v>18</v>
      </c>
      <c r="C13" s="18">
        <v>17</v>
      </c>
      <c r="D13" s="18">
        <v>17</v>
      </c>
      <c r="E13" s="18">
        <v>20</v>
      </c>
      <c r="F13" s="18">
        <v>17.5</v>
      </c>
      <c r="G13" s="18">
        <v>6.5</v>
      </c>
      <c r="H13" s="18">
        <v>78</v>
      </c>
    </row>
    <row r="14" spans="1:8" x14ac:dyDescent="0.25">
      <c r="A14" t="s">
        <v>1</v>
      </c>
      <c r="B14" t="s">
        <v>15</v>
      </c>
      <c r="C14" s="18">
        <v>17</v>
      </c>
      <c r="D14" s="18">
        <v>18</v>
      </c>
      <c r="E14" s="18">
        <v>17.5</v>
      </c>
      <c r="F14" s="18">
        <v>17.5</v>
      </c>
      <c r="G14" s="18">
        <v>6.5</v>
      </c>
      <c r="H14" s="18">
        <v>76.5</v>
      </c>
    </row>
    <row r="15" spans="1:8" x14ac:dyDescent="0.25">
      <c r="A15" t="s">
        <v>1</v>
      </c>
      <c r="B15" t="s">
        <v>124</v>
      </c>
      <c r="C15" s="18">
        <v>13</v>
      </c>
      <c r="D15" s="18">
        <v>17.25</v>
      </c>
      <c r="E15" s="18">
        <v>21.5</v>
      </c>
      <c r="F15" s="18">
        <v>17.5</v>
      </c>
      <c r="G15" s="18">
        <v>7</v>
      </c>
      <c r="H15" s="18">
        <v>76.25</v>
      </c>
    </row>
    <row r="16" spans="1:8" x14ac:dyDescent="0.25">
      <c r="A16" t="s">
        <v>1</v>
      </c>
      <c r="B16" t="s">
        <v>34</v>
      </c>
      <c r="C16" s="18">
        <v>15</v>
      </c>
      <c r="D16" s="18">
        <v>20</v>
      </c>
      <c r="E16" s="18">
        <v>14.5</v>
      </c>
      <c r="F16" s="18">
        <v>17</v>
      </c>
      <c r="G16" s="18">
        <v>8.8000000000000007</v>
      </c>
      <c r="H16" s="18">
        <v>75.3</v>
      </c>
    </row>
    <row r="17" spans="1:8" x14ac:dyDescent="0.25">
      <c r="A17" t="s">
        <v>1</v>
      </c>
      <c r="B17" t="s">
        <v>24</v>
      </c>
      <c r="C17" s="18">
        <v>12</v>
      </c>
      <c r="D17" s="18">
        <v>20.5</v>
      </c>
      <c r="E17" s="18">
        <v>20</v>
      </c>
      <c r="F17" s="18">
        <v>16</v>
      </c>
      <c r="G17" s="18">
        <v>6</v>
      </c>
      <c r="H17" s="18">
        <v>74.5</v>
      </c>
    </row>
    <row r="18" spans="1:8" x14ac:dyDescent="0.25">
      <c r="A18" t="s">
        <v>1</v>
      </c>
      <c r="B18" t="s">
        <v>65</v>
      </c>
      <c r="C18" s="18">
        <v>15</v>
      </c>
      <c r="D18" s="18">
        <v>20</v>
      </c>
      <c r="E18" s="18">
        <v>17.5</v>
      </c>
      <c r="F18" s="18">
        <v>11</v>
      </c>
      <c r="G18" s="18">
        <v>9.5</v>
      </c>
      <c r="H18" s="18">
        <v>73</v>
      </c>
    </row>
    <row r="19" spans="1:8" x14ac:dyDescent="0.25">
      <c r="A19" t="s">
        <v>1</v>
      </c>
      <c r="B19" t="s">
        <v>118</v>
      </c>
      <c r="C19" s="18">
        <v>13.5</v>
      </c>
      <c r="D19" s="18">
        <v>18.125</v>
      </c>
      <c r="E19" s="18">
        <v>18.125</v>
      </c>
      <c r="F19" s="18">
        <v>15.5</v>
      </c>
      <c r="G19" s="18">
        <v>7.5</v>
      </c>
      <c r="H19" s="18">
        <v>72.75</v>
      </c>
    </row>
    <row r="20" spans="1:8" x14ac:dyDescent="0.25">
      <c r="A20" t="s">
        <v>1</v>
      </c>
      <c r="B20" t="s">
        <v>57</v>
      </c>
      <c r="C20" s="18">
        <v>19</v>
      </c>
      <c r="D20" s="18">
        <v>12.5</v>
      </c>
      <c r="E20" s="18">
        <v>25</v>
      </c>
      <c r="F20" s="18">
        <v>7.5</v>
      </c>
      <c r="G20" s="18">
        <v>7.5</v>
      </c>
      <c r="H20" s="18">
        <v>71.5</v>
      </c>
    </row>
    <row r="21" spans="1:8" x14ac:dyDescent="0.25">
      <c r="A21" t="s">
        <v>1</v>
      </c>
      <c r="B21" t="s">
        <v>129</v>
      </c>
      <c r="C21" s="18">
        <v>8.5</v>
      </c>
      <c r="D21" s="18">
        <v>20</v>
      </c>
      <c r="E21" s="18">
        <v>18.5</v>
      </c>
      <c r="F21" s="18">
        <v>15</v>
      </c>
      <c r="G21" s="18">
        <v>9</v>
      </c>
      <c r="H21" s="18">
        <v>71</v>
      </c>
    </row>
    <row r="22" spans="1:8" x14ac:dyDescent="0.25">
      <c r="A22" t="s">
        <v>1</v>
      </c>
      <c r="B22" t="s">
        <v>130</v>
      </c>
      <c r="C22" s="18">
        <v>18</v>
      </c>
      <c r="D22" s="18">
        <v>13.5</v>
      </c>
      <c r="E22" s="18">
        <v>14</v>
      </c>
      <c r="F22" s="18">
        <v>16</v>
      </c>
      <c r="G22" s="18">
        <v>8</v>
      </c>
      <c r="H22" s="18">
        <v>69.5</v>
      </c>
    </row>
    <row r="23" spans="1:8" x14ac:dyDescent="0.25">
      <c r="A23" t="s">
        <v>1</v>
      </c>
      <c r="B23" t="s">
        <v>68</v>
      </c>
      <c r="C23" s="18">
        <v>20</v>
      </c>
      <c r="D23" s="18">
        <v>12.5</v>
      </c>
      <c r="E23" s="18">
        <v>11</v>
      </c>
      <c r="F23" s="18">
        <v>20</v>
      </c>
      <c r="G23" s="18">
        <v>5</v>
      </c>
      <c r="H23" s="18">
        <v>68.5</v>
      </c>
    </row>
    <row r="24" spans="1:8" x14ac:dyDescent="0.25">
      <c r="A24" t="s">
        <v>1</v>
      </c>
      <c r="B24" t="s">
        <v>37</v>
      </c>
      <c r="C24" s="18">
        <v>12.25</v>
      </c>
      <c r="D24" s="18">
        <v>14.5</v>
      </c>
      <c r="E24" s="18">
        <v>15</v>
      </c>
      <c r="F24" s="18">
        <v>17.5</v>
      </c>
      <c r="G24" s="18">
        <v>9</v>
      </c>
      <c r="H24" s="18">
        <v>68.25</v>
      </c>
    </row>
    <row r="25" spans="1:8" x14ac:dyDescent="0.25">
      <c r="A25" t="s">
        <v>1</v>
      </c>
      <c r="B25" t="s">
        <v>78</v>
      </c>
      <c r="C25" s="18">
        <v>17.5</v>
      </c>
      <c r="D25" s="18">
        <v>17.5</v>
      </c>
      <c r="E25" s="18">
        <v>7.5</v>
      </c>
      <c r="F25" s="18">
        <v>20</v>
      </c>
      <c r="G25" s="18">
        <v>5</v>
      </c>
      <c r="H25" s="18">
        <v>67.5</v>
      </c>
    </row>
    <row r="26" spans="1:8" x14ac:dyDescent="0.25">
      <c r="A26" t="s">
        <v>1</v>
      </c>
      <c r="B26" t="s">
        <v>30</v>
      </c>
      <c r="C26" s="18">
        <v>8</v>
      </c>
      <c r="D26" s="18">
        <v>14</v>
      </c>
      <c r="E26" s="18">
        <v>22.5</v>
      </c>
      <c r="F26" s="18">
        <v>17.5</v>
      </c>
      <c r="G26" s="18">
        <v>5</v>
      </c>
      <c r="H26" s="18">
        <v>67</v>
      </c>
    </row>
    <row r="27" spans="1:8" x14ac:dyDescent="0.25">
      <c r="A27" t="s">
        <v>1</v>
      </c>
      <c r="B27" t="s">
        <v>160</v>
      </c>
      <c r="C27" s="18">
        <v>10.5</v>
      </c>
      <c r="D27" s="18">
        <v>13.5</v>
      </c>
      <c r="E27" s="18">
        <v>19</v>
      </c>
      <c r="F27" s="18">
        <v>14</v>
      </c>
      <c r="G27" s="18">
        <v>9.5</v>
      </c>
      <c r="H27" s="18">
        <v>66.5</v>
      </c>
    </row>
    <row r="28" spans="1:8" x14ac:dyDescent="0.25">
      <c r="A28" t="s">
        <v>1</v>
      </c>
      <c r="B28" t="s">
        <v>71</v>
      </c>
      <c r="C28" s="18">
        <v>12.5</v>
      </c>
      <c r="D28" s="18">
        <v>15</v>
      </c>
      <c r="E28" s="18">
        <v>15</v>
      </c>
      <c r="F28" s="18">
        <v>17.5</v>
      </c>
      <c r="G28" s="18">
        <v>6</v>
      </c>
      <c r="H28" s="18">
        <v>66</v>
      </c>
    </row>
    <row r="29" spans="1:8" x14ac:dyDescent="0.25">
      <c r="A29" t="s">
        <v>1</v>
      </c>
      <c r="B29" t="s">
        <v>27</v>
      </c>
      <c r="C29" s="18">
        <v>7</v>
      </c>
      <c r="D29" s="18">
        <v>19</v>
      </c>
      <c r="E29" s="18">
        <v>17.5</v>
      </c>
      <c r="F29" s="18">
        <v>15</v>
      </c>
      <c r="G29" s="18">
        <v>5</v>
      </c>
      <c r="H29" s="18">
        <v>63.5</v>
      </c>
    </row>
    <row r="30" spans="1:8" x14ac:dyDescent="0.25">
      <c r="A30" t="s">
        <v>1</v>
      </c>
      <c r="B30" t="s">
        <v>12</v>
      </c>
      <c r="C30" s="18">
        <v>10</v>
      </c>
      <c r="D30" s="18">
        <v>17.5</v>
      </c>
      <c r="E30" s="18">
        <v>15</v>
      </c>
      <c r="F30" s="18">
        <v>15</v>
      </c>
      <c r="G30" s="18">
        <v>5.5</v>
      </c>
      <c r="H30" s="18">
        <v>63</v>
      </c>
    </row>
    <row r="31" spans="1:8" x14ac:dyDescent="0.25">
      <c r="A31" t="s">
        <v>1</v>
      </c>
      <c r="B31" t="s">
        <v>60</v>
      </c>
      <c r="C31" s="18">
        <v>12.5</v>
      </c>
      <c r="D31" s="18">
        <v>19</v>
      </c>
      <c r="E31" s="18">
        <v>17.5</v>
      </c>
      <c r="F31" s="18">
        <v>6</v>
      </c>
      <c r="G31" s="18">
        <v>7</v>
      </c>
      <c r="H31" s="18">
        <v>62</v>
      </c>
    </row>
    <row r="32" spans="1:8" x14ac:dyDescent="0.25">
      <c r="A32" t="s">
        <v>1</v>
      </c>
      <c r="B32" t="s">
        <v>46</v>
      </c>
      <c r="C32" s="18">
        <v>11.25</v>
      </c>
      <c r="D32" s="18">
        <v>14.5</v>
      </c>
      <c r="E32" s="18">
        <v>12</v>
      </c>
      <c r="F32" s="18">
        <v>15</v>
      </c>
      <c r="G32" s="18">
        <v>8.5</v>
      </c>
      <c r="H32" s="18">
        <v>61.25</v>
      </c>
    </row>
    <row r="33" spans="1:8" x14ac:dyDescent="0.25">
      <c r="A33" t="s">
        <v>1</v>
      </c>
      <c r="B33" t="s">
        <v>163</v>
      </c>
      <c r="C33" s="18">
        <v>12.25</v>
      </c>
      <c r="D33" s="18">
        <v>11</v>
      </c>
      <c r="E33" s="18">
        <v>11.5</v>
      </c>
      <c r="F33" s="18">
        <v>17.5</v>
      </c>
      <c r="G33" s="18">
        <v>7.7</v>
      </c>
      <c r="H33" s="18">
        <v>59.95</v>
      </c>
    </row>
    <row r="34" spans="1:8" x14ac:dyDescent="0.25">
      <c r="A34" t="s">
        <v>1</v>
      </c>
      <c r="B34" t="s">
        <v>73</v>
      </c>
      <c r="C34" s="18">
        <v>12.5</v>
      </c>
      <c r="D34" s="18">
        <v>12.5</v>
      </c>
      <c r="E34" s="18">
        <v>12.5</v>
      </c>
      <c r="F34" s="18">
        <v>15.5</v>
      </c>
      <c r="G34" s="18">
        <v>6</v>
      </c>
      <c r="H34" s="18">
        <v>59</v>
      </c>
    </row>
    <row r="35" spans="1:8" x14ac:dyDescent="0.25">
      <c r="A35" t="s">
        <v>1</v>
      </c>
      <c r="B35" t="s">
        <v>62</v>
      </c>
      <c r="C35" s="18">
        <v>16.5</v>
      </c>
      <c r="D35" s="18">
        <v>10</v>
      </c>
      <c r="E35" s="18">
        <v>20</v>
      </c>
      <c r="F35" s="18">
        <v>7.5</v>
      </c>
      <c r="G35" s="18">
        <v>5</v>
      </c>
      <c r="H35" s="18">
        <v>59</v>
      </c>
    </row>
    <row r="36" spans="1:8" x14ac:dyDescent="0.25">
      <c r="A36" t="s">
        <v>1</v>
      </c>
      <c r="B36" t="s">
        <v>40</v>
      </c>
      <c r="C36" s="18">
        <v>12.5</v>
      </c>
      <c r="D36" s="18">
        <v>10.5</v>
      </c>
      <c r="E36" s="18">
        <v>12.5</v>
      </c>
      <c r="F36" s="18">
        <v>15</v>
      </c>
      <c r="G36" s="18">
        <v>7.2</v>
      </c>
      <c r="H36" s="18">
        <v>57.7</v>
      </c>
    </row>
    <row r="37" spans="1:8" x14ac:dyDescent="0.25">
      <c r="A37" t="s">
        <v>1</v>
      </c>
      <c r="B37" t="s">
        <v>54</v>
      </c>
      <c r="C37" s="18">
        <v>11.25</v>
      </c>
      <c r="D37" s="18">
        <v>14</v>
      </c>
      <c r="E37" s="18">
        <v>7.5</v>
      </c>
      <c r="F37" s="18">
        <v>15</v>
      </c>
      <c r="G37" s="18">
        <v>8.3000000000000007</v>
      </c>
      <c r="H37" s="18">
        <v>56.05</v>
      </c>
    </row>
    <row r="38" spans="1:8" x14ac:dyDescent="0.25">
      <c r="A38" t="s">
        <v>1</v>
      </c>
      <c r="B38" t="s">
        <v>49</v>
      </c>
      <c r="C38" s="18">
        <v>8.25</v>
      </c>
      <c r="D38" s="18">
        <v>11.5</v>
      </c>
      <c r="E38" s="18">
        <v>12</v>
      </c>
      <c r="F38" s="18">
        <v>15</v>
      </c>
      <c r="G38" s="18">
        <v>8.3000000000000007</v>
      </c>
      <c r="H38" s="18">
        <v>55.05</v>
      </c>
    </row>
    <row r="39" spans="1:8" x14ac:dyDescent="0.25">
      <c r="A39" t="s">
        <v>1</v>
      </c>
      <c r="B39" t="s">
        <v>138</v>
      </c>
      <c r="C39" s="18">
        <v>8.5</v>
      </c>
      <c r="D39" s="18">
        <v>8</v>
      </c>
      <c r="E39" s="18">
        <v>20</v>
      </c>
      <c r="F39" s="18">
        <v>10.5</v>
      </c>
      <c r="G39" s="18">
        <v>5.5</v>
      </c>
      <c r="H39" s="18">
        <v>52.5</v>
      </c>
    </row>
    <row r="40" spans="1:8" x14ac:dyDescent="0.25">
      <c r="A40" t="s">
        <v>1</v>
      </c>
      <c r="B40" t="s">
        <v>76</v>
      </c>
      <c r="C40" s="18">
        <v>15</v>
      </c>
      <c r="D40" s="18">
        <v>10</v>
      </c>
      <c r="E40" s="18">
        <v>13.5</v>
      </c>
      <c r="F40" s="18">
        <v>10</v>
      </c>
      <c r="G40" s="18">
        <v>2.5</v>
      </c>
      <c r="H40" s="18">
        <v>51</v>
      </c>
    </row>
    <row r="41" spans="1:8" x14ac:dyDescent="0.25">
      <c r="A41" t="s">
        <v>1</v>
      </c>
      <c r="B41" t="s">
        <v>52</v>
      </c>
      <c r="C41" s="18">
        <v>9.75</v>
      </c>
      <c r="D41" s="18">
        <v>9.5</v>
      </c>
      <c r="E41" s="18">
        <v>4</v>
      </c>
      <c r="F41" s="18">
        <v>17</v>
      </c>
      <c r="G41" s="18">
        <v>7.7</v>
      </c>
      <c r="H41" s="18">
        <v>47.95</v>
      </c>
    </row>
    <row r="42" spans="1:8" x14ac:dyDescent="0.25">
      <c r="A42" t="s">
        <v>1</v>
      </c>
      <c r="B42" t="s">
        <v>9</v>
      </c>
      <c r="C42" s="18">
        <v>10</v>
      </c>
      <c r="D42" s="18">
        <v>7.5</v>
      </c>
      <c r="E42" s="18">
        <v>12.5</v>
      </c>
      <c r="F42" s="18">
        <v>12.5</v>
      </c>
      <c r="G42" s="18">
        <v>4</v>
      </c>
      <c r="H42" s="18">
        <v>46.5</v>
      </c>
    </row>
    <row r="43" spans="1:8" x14ac:dyDescent="0.25">
      <c r="A43" t="s">
        <v>81</v>
      </c>
      <c r="B43" t="s">
        <v>152</v>
      </c>
      <c r="C43" s="18">
        <v>17.5</v>
      </c>
      <c r="D43" s="18">
        <v>22.5</v>
      </c>
      <c r="E43" s="18">
        <v>22.5</v>
      </c>
      <c r="F43" s="18">
        <v>17.5</v>
      </c>
      <c r="G43" s="18">
        <v>8</v>
      </c>
      <c r="H43" s="18">
        <v>88</v>
      </c>
    </row>
    <row r="44" spans="1:8" x14ac:dyDescent="0.25">
      <c r="A44" t="s">
        <v>81</v>
      </c>
      <c r="B44" t="s">
        <v>155</v>
      </c>
      <c r="C44" s="18">
        <v>15.5</v>
      </c>
      <c r="D44" s="18">
        <v>22.5</v>
      </c>
      <c r="E44" s="18">
        <v>20</v>
      </c>
      <c r="F44" s="18">
        <v>19</v>
      </c>
      <c r="G44" s="18">
        <v>7.5</v>
      </c>
      <c r="H44" s="18">
        <v>84.5</v>
      </c>
    </row>
    <row r="45" spans="1:8" x14ac:dyDescent="0.25">
      <c r="A45" t="s">
        <v>81</v>
      </c>
      <c r="B45" t="s">
        <v>88</v>
      </c>
      <c r="C45" s="18">
        <v>17.5</v>
      </c>
      <c r="D45" s="18">
        <v>18.5</v>
      </c>
      <c r="E45" s="18">
        <v>21.5</v>
      </c>
      <c r="F45" s="18">
        <v>17.5</v>
      </c>
      <c r="G45" s="18">
        <v>8.5</v>
      </c>
      <c r="H45" s="18">
        <v>83.5</v>
      </c>
    </row>
    <row r="46" spans="1:8" x14ac:dyDescent="0.25">
      <c r="A46" t="s">
        <v>81</v>
      </c>
      <c r="B46" t="s">
        <v>85</v>
      </c>
      <c r="C46" s="18">
        <v>16.5</v>
      </c>
      <c r="D46" s="18">
        <v>19</v>
      </c>
      <c r="E46" s="18">
        <v>18.5</v>
      </c>
      <c r="F46" s="18">
        <v>19</v>
      </c>
      <c r="G46" s="18">
        <v>9.5</v>
      </c>
      <c r="H46" s="18">
        <v>82.5</v>
      </c>
    </row>
    <row r="47" spans="1:8" x14ac:dyDescent="0.25">
      <c r="A47" t="s">
        <v>81</v>
      </c>
      <c r="B47" t="s">
        <v>82</v>
      </c>
      <c r="C47" s="18">
        <v>16.5</v>
      </c>
      <c r="D47" s="18">
        <v>16.5</v>
      </c>
      <c r="E47" s="18">
        <v>16</v>
      </c>
      <c r="F47" s="18">
        <v>11.5</v>
      </c>
      <c r="G47" s="18">
        <v>6</v>
      </c>
      <c r="H47" s="18">
        <v>66.5</v>
      </c>
    </row>
    <row r="48" spans="1:8" x14ac:dyDescent="0.25">
      <c r="A48" t="s">
        <v>81</v>
      </c>
      <c r="B48" t="s">
        <v>94</v>
      </c>
      <c r="C48" s="18">
        <v>12.5</v>
      </c>
      <c r="D48" s="18">
        <v>13</v>
      </c>
      <c r="E48" s="18">
        <v>16</v>
      </c>
      <c r="F48" s="18">
        <v>12.5</v>
      </c>
      <c r="G48" s="18">
        <v>6</v>
      </c>
      <c r="H48" s="18">
        <v>60</v>
      </c>
    </row>
    <row r="49" spans="1:8" x14ac:dyDescent="0.25">
      <c r="A49" t="s">
        <v>81</v>
      </c>
      <c r="B49" t="s">
        <v>141</v>
      </c>
      <c r="C49" s="18">
        <v>12.5</v>
      </c>
      <c r="D49" s="18">
        <v>16.5</v>
      </c>
      <c r="E49" s="18">
        <v>15</v>
      </c>
      <c r="F49" s="18">
        <v>9</v>
      </c>
      <c r="G49" s="18">
        <v>6</v>
      </c>
      <c r="H49" s="18">
        <v>59</v>
      </c>
    </row>
    <row r="50" spans="1:8" x14ac:dyDescent="0.25">
      <c r="A50" t="s">
        <v>81</v>
      </c>
      <c r="B50" t="s">
        <v>144</v>
      </c>
      <c r="C50" s="18">
        <v>10.5</v>
      </c>
      <c r="D50" s="18">
        <v>17.5</v>
      </c>
      <c r="E50" s="18">
        <v>15</v>
      </c>
      <c r="F50" s="18">
        <v>10</v>
      </c>
      <c r="G50" s="18">
        <v>5</v>
      </c>
      <c r="H50" s="18">
        <v>58</v>
      </c>
    </row>
    <row r="51" spans="1:8" x14ac:dyDescent="0.25">
      <c r="A51" t="s">
        <v>81</v>
      </c>
      <c r="B51" t="s">
        <v>149</v>
      </c>
      <c r="C51" s="18">
        <v>8.5</v>
      </c>
      <c r="D51" s="18">
        <v>15</v>
      </c>
      <c r="E51" s="18">
        <v>14</v>
      </c>
      <c r="F51" s="18">
        <v>10</v>
      </c>
      <c r="G51" s="18">
        <v>6</v>
      </c>
      <c r="H51" s="18">
        <v>53.5</v>
      </c>
    </row>
    <row r="52" spans="1:8" x14ac:dyDescent="0.25">
      <c r="A52" t="s">
        <v>81</v>
      </c>
      <c r="B52" t="s">
        <v>91</v>
      </c>
      <c r="C52" s="18">
        <v>12</v>
      </c>
      <c r="D52" s="18">
        <v>14</v>
      </c>
      <c r="E52" s="18">
        <v>13</v>
      </c>
      <c r="F52" s="18">
        <v>11.5</v>
      </c>
      <c r="G52" s="18">
        <v>5</v>
      </c>
      <c r="H52" s="18">
        <v>53</v>
      </c>
    </row>
    <row r="53" spans="1:8" x14ac:dyDescent="0.25">
      <c r="A53" t="s">
        <v>81</v>
      </c>
      <c r="B53" t="s">
        <v>146</v>
      </c>
      <c r="C53" s="18">
        <v>9</v>
      </c>
      <c r="D53" s="18">
        <v>10.5</v>
      </c>
      <c r="E53" s="18">
        <v>10</v>
      </c>
      <c r="F53" s="18">
        <v>7</v>
      </c>
      <c r="G53" s="18">
        <v>5.5</v>
      </c>
      <c r="H53" s="18">
        <v>42</v>
      </c>
    </row>
    <row r="54" spans="1:8" x14ac:dyDescent="0.25">
      <c r="A54" t="s">
        <v>81</v>
      </c>
      <c r="B54" t="s">
        <v>97</v>
      </c>
      <c r="C54" s="18">
        <v>9.5</v>
      </c>
      <c r="D54" s="18">
        <v>8</v>
      </c>
      <c r="E54" s="18">
        <v>8</v>
      </c>
      <c r="F54" s="18">
        <v>7.5</v>
      </c>
      <c r="G54" s="18">
        <v>6.5</v>
      </c>
      <c r="H54" s="18">
        <v>39.5</v>
      </c>
    </row>
  </sheetData>
  <sortState xmlns:xlrd2="http://schemas.microsoft.com/office/spreadsheetml/2017/richdata2" ref="A2:H54">
    <sortCondition ref="A2:A54"/>
    <sortCondition descending="1" ref="H2:H54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ACE3-12B8-4B3C-A6FB-5CFD9B9D2F8E}">
  <dimension ref="A1:K107"/>
  <sheetViews>
    <sheetView tabSelected="1" topLeftCell="A70" zoomScale="70" zoomScaleNormal="70" workbookViewId="0">
      <selection activeCell="B84" sqref="B84"/>
    </sheetView>
  </sheetViews>
  <sheetFormatPr baseColWidth="10" defaultRowHeight="15" x14ac:dyDescent="0.25"/>
  <cols>
    <col min="1" max="1" width="12.140625" bestFit="1" customWidth="1"/>
    <col min="2" max="2" width="12.140625" customWidth="1"/>
    <col min="3" max="3" width="19.85546875" bestFit="1" customWidth="1"/>
    <col min="4" max="4" width="27.28515625" bestFit="1" customWidth="1"/>
    <col min="5" max="6" width="19" customWidth="1"/>
    <col min="7" max="7" width="24.7109375" customWidth="1"/>
    <col min="8" max="8" width="17.140625" customWidth="1"/>
    <col min="9" max="9" width="19" customWidth="1"/>
    <col min="10" max="10" width="21.85546875" customWidth="1"/>
  </cols>
  <sheetData>
    <row r="1" spans="1:11" ht="60" customHeight="1" x14ac:dyDescent="0.25">
      <c r="A1" s="2" t="s">
        <v>3</v>
      </c>
      <c r="B1" s="2" t="s">
        <v>180</v>
      </c>
      <c r="C1" s="2" t="s">
        <v>2</v>
      </c>
      <c r="D1" s="2" t="s">
        <v>33</v>
      </c>
      <c r="E1" s="2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6" t="s">
        <v>172</v>
      </c>
    </row>
    <row r="2" spans="1:11" x14ac:dyDescent="0.25">
      <c r="A2" s="13" t="s">
        <v>1</v>
      </c>
      <c r="B2" s="13" t="s">
        <v>178</v>
      </c>
      <c r="C2" s="3" t="s">
        <v>9</v>
      </c>
      <c r="D2" s="3" t="s">
        <v>10</v>
      </c>
      <c r="E2" s="3" t="s">
        <v>11</v>
      </c>
      <c r="F2" s="8">
        <v>15</v>
      </c>
      <c r="G2" s="8">
        <v>10</v>
      </c>
      <c r="H2" s="8">
        <v>20</v>
      </c>
      <c r="I2" s="8">
        <v>20</v>
      </c>
      <c r="J2" s="8">
        <v>5</v>
      </c>
      <c r="K2" s="17">
        <f>SUM(F2:J2)</f>
        <v>70</v>
      </c>
    </row>
    <row r="3" spans="1:11" x14ac:dyDescent="0.25">
      <c r="A3" s="13" t="s">
        <v>1</v>
      </c>
      <c r="B3" s="13" t="s">
        <v>178</v>
      </c>
      <c r="C3" s="3" t="s">
        <v>12</v>
      </c>
      <c r="D3" s="3" t="s">
        <v>13</v>
      </c>
      <c r="E3" s="3" t="s">
        <v>14</v>
      </c>
      <c r="F3" s="8">
        <v>10</v>
      </c>
      <c r="G3" s="8">
        <v>15</v>
      </c>
      <c r="H3" s="8">
        <v>15</v>
      </c>
      <c r="I3" s="8">
        <v>20</v>
      </c>
      <c r="J3" s="8">
        <v>5</v>
      </c>
      <c r="K3" s="17">
        <f>SUM(F3:J3)</f>
        <v>65</v>
      </c>
    </row>
    <row r="4" spans="1:11" x14ac:dyDescent="0.25">
      <c r="A4" s="13" t="s">
        <v>1</v>
      </c>
      <c r="B4" s="13" t="s">
        <v>178</v>
      </c>
      <c r="C4" s="3" t="s">
        <v>15</v>
      </c>
      <c r="D4" s="3" t="s">
        <v>16</v>
      </c>
      <c r="E4" s="3" t="s">
        <v>17</v>
      </c>
      <c r="F4" s="8">
        <v>20</v>
      </c>
      <c r="G4" s="8">
        <v>15</v>
      </c>
      <c r="H4" s="8">
        <v>15</v>
      </c>
      <c r="I4" s="8">
        <v>20</v>
      </c>
      <c r="J4" s="8">
        <v>5</v>
      </c>
      <c r="K4" s="17">
        <f>SUM(F4:J4)</f>
        <v>75</v>
      </c>
    </row>
    <row r="5" spans="1:11" x14ac:dyDescent="0.25">
      <c r="A5" s="13" t="s">
        <v>1</v>
      </c>
      <c r="B5" s="13" t="s">
        <v>178</v>
      </c>
      <c r="C5" s="3" t="s">
        <v>18</v>
      </c>
      <c r="D5" s="3" t="s">
        <v>19</v>
      </c>
      <c r="E5" s="3" t="s">
        <v>20</v>
      </c>
      <c r="F5" s="8">
        <v>20</v>
      </c>
      <c r="G5" s="8">
        <v>10</v>
      </c>
      <c r="H5" s="8">
        <v>20</v>
      </c>
      <c r="I5" s="8">
        <v>20</v>
      </c>
      <c r="J5" s="8">
        <v>5</v>
      </c>
      <c r="K5" s="17">
        <f>SUM(F5:J5)</f>
        <v>75</v>
      </c>
    </row>
    <row r="6" spans="1:11" x14ac:dyDescent="0.25">
      <c r="A6" s="13" t="s">
        <v>1</v>
      </c>
      <c r="B6" s="13" t="s">
        <v>178</v>
      </c>
      <c r="C6" s="3" t="s">
        <v>21</v>
      </c>
      <c r="D6" s="3" t="s">
        <v>22</v>
      </c>
      <c r="E6" s="3" t="s">
        <v>23</v>
      </c>
      <c r="F6" s="8">
        <v>20</v>
      </c>
      <c r="G6" s="8">
        <v>15</v>
      </c>
      <c r="H6" s="8">
        <v>25</v>
      </c>
      <c r="I6" s="8">
        <v>20</v>
      </c>
      <c r="J6" s="8">
        <v>5</v>
      </c>
      <c r="K6" s="17">
        <f>SUM(F6:J6)</f>
        <v>85</v>
      </c>
    </row>
    <row r="7" spans="1:11" x14ac:dyDescent="0.25">
      <c r="A7" s="13" t="s">
        <v>1</v>
      </c>
      <c r="B7" s="13" t="s">
        <v>178</v>
      </c>
      <c r="C7" s="3" t="s">
        <v>24</v>
      </c>
      <c r="D7" s="3" t="s">
        <v>25</v>
      </c>
      <c r="E7" s="3" t="s">
        <v>26</v>
      </c>
      <c r="F7" s="8">
        <v>10</v>
      </c>
      <c r="G7" s="8">
        <v>20</v>
      </c>
      <c r="H7" s="8">
        <v>20</v>
      </c>
      <c r="I7" s="8">
        <v>20</v>
      </c>
      <c r="J7" s="8">
        <v>7</v>
      </c>
      <c r="K7" s="17">
        <f>SUM(F7:J7)</f>
        <v>77</v>
      </c>
    </row>
    <row r="8" spans="1:11" x14ac:dyDescent="0.25">
      <c r="A8" s="13" t="s">
        <v>1</v>
      </c>
      <c r="B8" s="13" t="s">
        <v>178</v>
      </c>
      <c r="C8" s="3" t="s">
        <v>27</v>
      </c>
      <c r="D8" s="3" t="s">
        <v>28</v>
      </c>
      <c r="E8" s="3" t="s">
        <v>29</v>
      </c>
      <c r="F8" s="8">
        <v>4</v>
      </c>
      <c r="G8" s="8">
        <v>20</v>
      </c>
      <c r="H8" s="8">
        <v>25</v>
      </c>
      <c r="I8" s="8">
        <v>15</v>
      </c>
      <c r="J8" s="8">
        <v>5</v>
      </c>
      <c r="K8" s="17">
        <f>SUM(F8:J8)</f>
        <v>69</v>
      </c>
    </row>
    <row r="9" spans="1:11" x14ac:dyDescent="0.25">
      <c r="A9" s="13" t="s">
        <v>1</v>
      </c>
      <c r="B9" s="13" t="s">
        <v>178</v>
      </c>
      <c r="C9" s="3" t="s">
        <v>30</v>
      </c>
      <c r="D9" s="3" t="s">
        <v>31</v>
      </c>
      <c r="E9" s="3" t="s">
        <v>32</v>
      </c>
      <c r="F9" s="8">
        <v>4</v>
      </c>
      <c r="G9" s="8">
        <v>10</v>
      </c>
      <c r="H9" s="8">
        <v>25</v>
      </c>
      <c r="I9" s="8">
        <v>20</v>
      </c>
      <c r="J9" s="8">
        <v>5</v>
      </c>
      <c r="K9" s="17">
        <f>SUM(F9:J9)</f>
        <v>64</v>
      </c>
    </row>
    <row r="10" spans="1:11" x14ac:dyDescent="0.25">
      <c r="A10" s="13" t="s">
        <v>1</v>
      </c>
      <c r="B10" s="13" t="s">
        <v>178</v>
      </c>
      <c r="C10" s="3" t="s">
        <v>34</v>
      </c>
      <c r="D10" s="3" t="s">
        <v>35</v>
      </c>
      <c r="E10" s="3" t="s">
        <v>36</v>
      </c>
      <c r="F10" s="8">
        <v>18</v>
      </c>
      <c r="G10" s="8">
        <v>25</v>
      </c>
      <c r="H10" s="8">
        <v>23</v>
      </c>
      <c r="I10" s="8">
        <v>19</v>
      </c>
      <c r="J10" s="8">
        <v>8</v>
      </c>
      <c r="K10" s="17">
        <f>SUM(F10:J10)</f>
        <v>93</v>
      </c>
    </row>
    <row r="11" spans="1:11" x14ac:dyDescent="0.25">
      <c r="A11" s="13" t="s">
        <v>1</v>
      </c>
      <c r="B11" s="13" t="s">
        <v>178</v>
      </c>
      <c r="C11" s="3" t="s">
        <v>37</v>
      </c>
      <c r="D11" s="3" t="s">
        <v>38</v>
      </c>
      <c r="E11" s="3" t="s">
        <v>39</v>
      </c>
      <c r="F11" s="8">
        <v>17</v>
      </c>
      <c r="G11" s="8">
        <v>24</v>
      </c>
      <c r="H11" s="8">
        <v>25</v>
      </c>
      <c r="I11" s="8">
        <v>20</v>
      </c>
      <c r="J11" s="8">
        <v>10</v>
      </c>
      <c r="K11" s="17">
        <f>SUM(F11:J11)</f>
        <v>96</v>
      </c>
    </row>
    <row r="12" spans="1:11" x14ac:dyDescent="0.25">
      <c r="A12" s="13" t="s">
        <v>1</v>
      </c>
      <c r="B12" s="13" t="s">
        <v>178</v>
      </c>
      <c r="C12" s="3" t="s">
        <v>40</v>
      </c>
      <c r="D12" s="3" t="s">
        <v>41</v>
      </c>
      <c r="E12" s="3" t="s">
        <v>42</v>
      </c>
      <c r="F12" s="8">
        <v>19</v>
      </c>
      <c r="G12" s="8">
        <v>20</v>
      </c>
      <c r="H12" s="8">
        <v>20</v>
      </c>
      <c r="I12" s="8">
        <v>15</v>
      </c>
      <c r="J12" s="8">
        <v>8</v>
      </c>
      <c r="K12" s="17">
        <f>SUM(F12:J12)</f>
        <v>82</v>
      </c>
    </row>
    <row r="13" spans="1:11" x14ac:dyDescent="0.25">
      <c r="A13" s="13" t="s">
        <v>1</v>
      </c>
      <c r="B13" s="13" t="s">
        <v>178</v>
      </c>
      <c r="C13" s="3" t="s">
        <v>43</v>
      </c>
      <c r="D13" s="3" t="s">
        <v>44</v>
      </c>
      <c r="E13" s="3" t="s">
        <v>45</v>
      </c>
      <c r="F13" s="8">
        <v>17</v>
      </c>
      <c r="G13" s="8">
        <v>25</v>
      </c>
      <c r="H13" s="8">
        <v>25</v>
      </c>
      <c r="I13" s="8">
        <v>19</v>
      </c>
      <c r="J13" s="8">
        <v>9</v>
      </c>
      <c r="K13" s="17">
        <f>SUM(F13:J13)</f>
        <v>95</v>
      </c>
    </row>
    <row r="14" spans="1:11" x14ac:dyDescent="0.25">
      <c r="A14" s="13" t="s">
        <v>1</v>
      </c>
      <c r="B14" s="13" t="s">
        <v>178</v>
      </c>
      <c r="C14" s="3" t="s">
        <v>46</v>
      </c>
      <c r="D14" s="3" t="s">
        <v>47</v>
      </c>
      <c r="E14" s="3" t="s">
        <v>48</v>
      </c>
      <c r="F14" s="8">
        <v>18</v>
      </c>
      <c r="G14" s="8">
        <v>24</v>
      </c>
      <c r="H14" s="8">
        <v>19</v>
      </c>
      <c r="I14" s="8">
        <v>15</v>
      </c>
      <c r="J14" s="8">
        <v>9</v>
      </c>
      <c r="K14" s="17">
        <f>SUM(F14:J14)</f>
        <v>85</v>
      </c>
    </row>
    <row r="15" spans="1:11" x14ac:dyDescent="0.25">
      <c r="A15" s="13" t="s">
        <v>1</v>
      </c>
      <c r="B15" s="13" t="s">
        <v>178</v>
      </c>
      <c r="C15" s="3" t="s">
        <v>49</v>
      </c>
      <c r="D15" s="3" t="s">
        <v>50</v>
      </c>
      <c r="E15" s="3" t="s">
        <v>51</v>
      </c>
      <c r="F15" s="8">
        <v>12</v>
      </c>
      <c r="G15" s="8">
        <v>19</v>
      </c>
      <c r="H15" s="8">
        <v>19</v>
      </c>
      <c r="I15" s="8">
        <v>15</v>
      </c>
      <c r="J15" s="8">
        <v>7</v>
      </c>
      <c r="K15" s="17">
        <f>SUM(F15:J15)</f>
        <v>72</v>
      </c>
    </row>
    <row r="16" spans="1:11" x14ac:dyDescent="0.25">
      <c r="A16" s="13" t="s">
        <v>1</v>
      </c>
      <c r="B16" s="13" t="s">
        <v>178</v>
      </c>
      <c r="C16" s="3" t="s">
        <v>52</v>
      </c>
      <c r="D16" s="3" t="s">
        <v>53</v>
      </c>
      <c r="E16" s="3" t="s">
        <v>20</v>
      </c>
      <c r="F16" s="8">
        <v>15</v>
      </c>
      <c r="G16" s="8">
        <v>15</v>
      </c>
      <c r="H16" s="8">
        <v>5</v>
      </c>
      <c r="I16" s="8">
        <v>19</v>
      </c>
      <c r="J16" s="8">
        <v>9</v>
      </c>
      <c r="K16" s="17">
        <f>SUM(F16:J16)</f>
        <v>63</v>
      </c>
    </row>
    <row r="17" spans="1:11" x14ac:dyDescent="0.25">
      <c r="A17" s="13" t="s">
        <v>1</v>
      </c>
      <c r="B17" s="13" t="s">
        <v>178</v>
      </c>
      <c r="C17" s="3" t="s">
        <v>54</v>
      </c>
      <c r="D17" s="3" t="s">
        <v>55</v>
      </c>
      <c r="E17" s="3" t="s">
        <v>56</v>
      </c>
      <c r="F17" s="8">
        <v>18</v>
      </c>
      <c r="G17" s="8">
        <v>25</v>
      </c>
      <c r="H17" s="8">
        <v>10</v>
      </c>
      <c r="I17" s="8">
        <v>15</v>
      </c>
      <c r="J17" s="8">
        <v>7</v>
      </c>
      <c r="K17" s="17">
        <f>SUM(F17:J17)</f>
        <v>75</v>
      </c>
    </row>
    <row r="18" spans="1:11" x14ac:dyDescent="0.25">
      <c r="A18" s="13" t="s">
        <v>1</v>
      </c>
      <c r="B18" s="13" t="s">
        <v>178</v>
      </c>
      <c r="C18" s="3" t="s">
        <v>57</v>
      </c>
      <c r="D18" s="3" t="s">
        <v>58</v>
      </c>
      <c r="E18" s="3" t="s">
        <v>59</v>
      </c>
      <c r="F18" s="8">
        <v>20</v>
      </c>
      <c r="G18" s="8">
        <v>10</v>
      </c>
      <c r="H18" s="8">
        <v>25</v>
      </c>
      <c r="I18" s="8">
        <v>5</v>
      </c>
      <c r="J18" s="8">
        <v>10</v>
      </c>
      <c r="K18" s="17">
        <f>SUM(F18:J18)</f>
        <v>70</v>
      </c>
    </row>
    <row r="19" spans="1:11" x14ac:dyDescent="0.25">
      <c r="A19" s="13" t="s">
        <v>1</v>
      </c>
      <c r="B19" s="13" t="s">
        <v>178</v>
      </c>
      <c r="C19" s="3" t="s">
        <v>60</v>
      </c>
      <c r="D19" s="3" t="s">
        <v>61</v>
      </c>
      <c r="E19" s="3" t="s">
        <v>23</v>
      </c>
      <c r="F19" s="8">
        <v>15</v>
      </c>
      <c r="G19" s="8">
        <v>20</v>
      </c>
      <c r="H19" s="8">
        <v>15</v>
      </c>
      <c r="I19" s="8">
        <v>5</v>
      </c>
      <c r="J19" s="8">
        <v>5</v>
      </c>
      <c r="K19" s="17">
        <f>SUM(F19:J19)</f>
        <v>60</v>
      </c>
    </row>
    <row r="20" spans="1:11" x14ac:dyDescent="0.25">
      <c r="A20" s="13" t="s">
        <v>1</v>
      </c>
      <c r="B20" s="13" t="s">
        <v>178</v>
      </c>
      <c r="C20" s="3" t="s">
        <v>62</v>
      </c>
      <c r="D20" s="3" t="s">
        <v>63</v>
      </c>
      <c r="E20" s="3" t="s">
        <v>64</v>
      </c>
      <c r="F20" s="8">
        <v>15</v>
      </c>
      <c r="G20" s="8">
        <v>10</v>
      </c>
      <c r="H20" s="8">
        <v>20</v>
      </c>
      <c r="I20" s="8">
        <v>5</v>
      </c>
      <c r="J20" s="8">
        <v>5</v>
      </c>
      <c r="K20" s="17">
        <f>SUM(F20:J20)</f>
        <v>55</v>
      </c>
    </row>
    <row r="21" spans="1:11" x14ac:dyDescent="0.25">
      <c r="A21" s="13" t="s">
        <v>1</v>
      </c>
      <c r="B21" s="13" t="s">
        <v>178</v>
      </c>
      <c r="C21" s="3" t="s">
        <v>65</v>
      </c>
      <c r="D21" s="3" t="s">
        <v>66</v>
      </c>
      <c r="E21" s="3" t="s">
        <v>67</v>
      </c>
      <c r="F21" s="9">
        <v>20</v>
      </c>
      <c r="G21" s="8">
        <v>25</v>
      </c>
      <c r="H21" s="8">
        <v>15</v>
      </c>
      <c r="I21" s="8">
        <v>15</v>
      </c>
      <c r="J21" s="8">
        <v>10</v>
      </c>
      <c r="K21" s="17">
        <f>SUM(F21:J21)</f>
        <v>85</v>
      </c>
    </row>
    <row r="22" spans="1:11" x14ac:dyDescent="0.25">
      <c r="A22" s="13" t="s">
        <v>1</v>
      </c>
      <c r="B22" s="13" t="s">
        <v>178</v>
      </c>
      <c r="C22" s="3" t="s">
        <v>68</v>
      </c>
      <c r="D22" s="3" t="s">
        <v>69</v>
      </c>
      <c r="E22" s="3" t="s">
        <v>70</v>
      </c>
      <c r="F22" s="8">
        <v>20</v>
      </c>
      <c r="G22" s="8">
        <v>5</v>
      </c>
      <c r="H22" s="8">
        <v>5</v>
      </c>
      <c r="I22" s="8">
        <v>20</v>
      </c>
      <c r="J22" s="8">
        <v>5</v>
      </c>
      <c r="K22" s="17">
        <f>SUM(F22:J22)</f>
        <v>55</v>
      </c>
    </row>
    <row r="23" spans="1:11" x14ac:dyDescent="0.25">
      <c r="A23" s="13" t="s">
        <v>1</v>
      </c>
      <c r="B23" s="13" t="s">
        <v>178</v>
      </c>
      <c r="C23" s="3" t="s">
        <v>71</v>
      </c>
      <c r="D23" s="3" t="s">
        <v>72</v>
      </c>
      <c r="E23" s="3" t="s">
        <v>70</v>
      </c>
      <c r="F23" s="8">
        <v>20</v>
      </c>
      <c r="G23" s="8">
        <v>25</v>
      </c>
      <c r="H23" s="8">
        <v>15</v>
      </c>
      <c r="I23" s="8">
        <v>20</v>
      </c>
      <c r="J23" s="8">
        <v>10</v>
      </c>
      <c r="K23" s="17">
        <f>SUM(F23:J23)</f>
        <v>90</v>
      </c>
    </row>
    <row r="24" spans="1:11" x14ac:dyDescent="0.25">
      <c r="A24" s="13" t="s">
        <v>1</v>
      </c>
      <c r="B24" s="13" t="s">
        <v>178</v>
      </c>
      <c r="C24" s="3" t="s">
        <v>73</v>
      </c>
      <c r="D24" s="3" t="s">
        <v>74</v>
      </c>
      <c r="E24" s="3" t="s">
        <v>75</v>
      </c>
      <c r="F24" s="8">
        <v>20</v>
      </c>
      <c r="G24" s="8">
        <v>10</v>
      </c>
      <c r="H24" s="8">
        <v>10</v>
      </c>
      <c r="I24" s="8">
        <v>15</v>
      </c>
      <c r="J24" s="8">
        <v>5</v>
      </c>
      <c r="K24" s="17">
        <f>SUM(F24:J24)</f>
        <v>60</v>
      </c>
    </row>
    <row r="25" spans="1:11" x14ac:dyDescent="0.25">
      <c r="A25" s="13" t="s">
        <v>1</v>
      </c>
      <c r="B25" s="13" t="s">
        <v>178</v>
      </c>
      <c r="C25" s="3" t="s">
        <v>76</v>
      </c>
      <c r="D25" s="3" t="s">
        <v>77</v>
      </c>
      <c r="E25" s="3" t="s">
        <v>32</v>
      </c>
      <c r="F25" s="8">
        <v>20</v>
      </c>
      <c r="G25" s="8">
        <v>20</v>
      </c>
      <c r="H25" s="8">
        <v>15</v>
      </c>
      <c r="I25" s="8">
        <v>10</v>
      </c>
      <c r="J25" s="8">
        <v>5</v>
      </c>
      <c r="K25" s="17">
        <f>SUM(F25:J25)</f>
        <v>70</v>
      </c>
    </row>
    <row r="26" spans="1:11" x14ac:dyDescent="0.25">
      <c r="A26" s="13" t="s">
        <v>1</v>
      </c>
      <c r="B26" s="13" t="s">
        <v>178</v>
      </c>
      <c r="C26" s="3" t="s">
        <v>78</v>
      </c>
      <c r="D26" s="3" t="s">
        <v>79</v>
      </c>
      <c r="E26" s="3" t="s">
        <v>80</v>
      </c>
      <c r="F26" s="8">
        <v>15</v>
      </c>
      <c r="G26" s="8">
        <v>15</v>
      </c>
      <c r="H26" s="8">
        <v>10</v>
      </c>
      <c r="I26" s="8">
        <v>20</v>
      </c>
      <c r="J26" s="8">
        <v>5</v>
      </c>
      <c r="K26" s="17">
        <f>SUM(F26:J26)</f>
        <v>65</v>
      </c>
    </row>
    <row r="27" spans="1:11" x14ac:dyDescent="0.25">
      <c r="A27" s="13" t="s">
        <v>1</v>
      </c>
      <c r="B27" s="13" t="s">
        <v>178</v>
      </c>
      <c r="C27" s="3" t="s">
        <v>100</v>
      </c>
      <c r="D27" s="3" t="s">
        <v>101</v>
      </c>
      <c r="E27" s="3" t="s">
        <v>102</v>
      </c>
      <c r="F27" s="10">
        <v>16</v>
      </c>
      <c r="G27" s="10">
        <v>25</v>
      </c>
      <c r="H27" s="10">
        <v>17.5</v>
      </c>
      <c r="I27" s="10">
        <v>18</v>
      </c>
      <c r="J27" s="10">
        <v>7</v>
      </c>
      <c r="K27" s="17">
        <f>SUM(F27:J27)</f>
        <v>83.5</v>
      </c>
    </row>
    <row r="28" spans="1:11" x14ac:dyDescent="0.25">
      <c r="A28" s="13" t="s">
        <v>1</v>
      </c>
      <c r="B28" s="13" t="s">
        <v>178</v>
      </c>
      <c r="C28" s="3" t="s">
        <v>103</v>
      </c>
      <c r="D28" s="3" t="s">
        <v>104</v>
      </c>
      <c r="E28" s="3" t="s">
        <v>105</v>
      </c>
      <c r="F28" s="10">
        <v>18</v>
      </c>
      <c r="G28" s="10">
        <v>25</v>
      </c>
      <c r="H28" s="10">
        <v>25</v>
      </c>
      <c r="I28" s="10">
        <v>20</v>
      </c>
      <c r="J28" s="10">
        <v>8</v>
      </c>
      <c r="K28" s="17">
        <f>SUM(F28:J28)</f>
        <v>96</v>
      </c>
    </row>
    <row r="29" spans="1:11" x14ac:dyDescent="0.25">
      <c r="A29" s="13" t="s">
        <v>1</v>
      </c>
      <c r="B29" s="13" t="s">
        <v>178</v>
      </c>
      <c r="C29" s="3" t="s">
        <v>106</v>
      </c>
      <c r="D29" s="3" t="s">
        <v>107</v>
      </c>
      <c r="E29" s="3" t="s">
        <v>108</v>
      </c>
      <c r="F29" s="10">
        <v>19</v>
      </c>
      <c r="G29" s="10">
        <v>25</v>
      </c>
      <c r="H29" s="10">
        <v>25</v>
      </c>
      <c r="I29" s="10">
        <v>18</v>
      </c>
      <c r="J29" s="10">
        <v>9</v>
      </c>
      <c r="K29" s="17">
        <f>SUM(F29:J29)</f>
        <v>96</v>
      </c>
    </row>
    <row r="30" spans="1:11" x14ac:dyDescent="0.25">
      <c r="A30" s="13" t="s">
        <v>1</v>
      </c>
      <c r="B30" s="13" t="s">
        <v>178</v>
      </c>
      <c r="C30" s="3" t="s">
        <v>109</v>
      </c>
      <c r="D30" s="3" t="s">
        <v>110</v>
      </c>
      <c r="E30" s="3" t="s">
        <v>111</v>
      </c>
      <c r="F30" s="10">
        <v>18</v>
      </c>
      <c r="G30" s="10">
        <v>25</v>
      </c>
      <c r="H30" s="10">
        <v>22.5</v>
      </c>
      <c r="I30" s="10">
        <v>18</v>
      </c>
      <c r="J30" s="10">
        <v>7</v>
      </c>
      <c r="K30" s="17">
        <f>SUM(F30:J30)</f>
        <v>90.5</v>
      </c>
    </row>
    <row r="31" spans="1:11" x14ac:dyDescent="0.25">
      <c r="A31" s="13" t="s">
        <v>1</v>
      </c>
      <c r="B31" s="13" t="s">
        <v>178</v>
      </c>
      <c r="C31" s="3" t="s">
        <v>112</v>
      </c>
      <c r="D31" s="3" t="s">
        <v>113</v>
      </c>
      <c r="E31" s="3" t="s">
        <v>114</v>
      </c>
      <c r="F31" s="10">
        <v>18</v>
      </c>
      <c r="G31" s="10">
        <v>25</v>
      </c>
      <c r="H31" s="10">
        <v>20</v>
      </c>
      <c r="I31" s="10">
        <v>18</v>
      </c>
      <c r="J31" s="10">
        <v>8</v>
      </c>
      <c r="K31" s="17">
        <f>SUM(F31:J31)</f>
        <v>89</v>
      </c>
    </row>
    <row r="32" spans="1:11" x14ac:dyDescent="0.25">
      <c r="A32" s="13" t="s">
        <v>1</v>
      </c>
      <c r="B32" s="13" t="s">
        <v>178</v>
      </c>
      <c r="C32" s="3" t="s">
        <v>115</v>
      </c>
      <c r="D32" s="3" t="s">
        <v>116</v>
      </c>
      <c r="E32" s="3" t="s">
        <v>117</v>
      </c>
      <c r="F32" s="10">
        <v>18</v>
      </c>
      <c r="G32" s="10">
        <v>25</v>
      </c>
      <c r="H32" s="10">
        <v>25</v>
      </c>
      <c r="I32" s="10">
        <v>18</v>
      </c>
      <c r="J32" s="10">
        <v>8</v>
      </c>
      <c r="K32" s="17">
        <f>SUM(F32:J32)</f>
        <v>94</v>
      </c>
    </row>
    <row r="33" spans="1:11" x14ac:dyDescent="0.25">
      <c r="A33" s="13" t="s">
        <v>1</v>
      </c>
      <c r="B33" s="13" t="s">
        <v>178</v>
      </c>
      <c r="C33" s="3" t="s">
        <v>118</v>
      </c>
      <c r="D33" s="3" t="s">
        <v>119</v>
      </c>
      <c r="E33" s="3" t="s">
        <v>120</v>
      </c>
      <c r="F33" s="10">
        <v>14</v>
      </c>
      <c r="G33" s="10">
        <v>17.5</v>
      </c>
      <c r="H33" s="10">
        <v>17.5</v>
      </c>
      <c r="I33" s="10">
        <v>18</v>
      </c>
      <c r="J33" s="10">
        <v>8</v>
      </c>
      <c r="K33" s="17">
        <f>SUM(F33:J33)</f>
        <v>75</v>
      </c>
    </row>
    <row r="34" spans="1:11" x14ac:dyDescent="0.25">
      <c r="A34" s="13" t="s">
        <v>1</v>
      </c>
      <c r="B34" s="13" t="s">
        <v>178</v>
      </c>
      <c r="C34" s="3" t="s">
        <v>121</v>
      </c>
      <c r="D34" s="3" t="s">
        <v>122</v>
      </c>
      <c r="E34" s="3" t="s">
        <v>123</v>
      </c>
      <c r="F34" s="10">
        <v>18</v>
      </c>
      <c r="G34" s="10">
        <v>25</v>
      </c>
      <c r="H34" s="10">
        <v>17.5</v>
      </c>
      <c r="I34" s="10">
        <v>18</v>
      </c>
      <c r="J34" s="10">
        <v>7</v>
      </c>
      <c r="K34" s="17">
        <f>SUM(F34:J34)</f>
        <v>85.5</v>
      </c>
    </row>
    <row r="35" spans="1:11" x14ac:dyDescent="0.25">
      <c r="A35" s="13" t="s">
        <v>1</v>
      </c>
      <c r="B35" s="13" t="s">
        <v>178</v>
      </c>
      <c r="C35" s="3" t="s">
        <v>124</v>
      </c>
      <c r="D35" s="3" t="s">
        <v>125</v>
      </c>
      <c r="E35" s="3" t="s">
        <v>126</v>
      </c>
      <c r="F35" s="10">
        <v>14</v>
      </c>
      <c r="G35" s="10">
        <v>17.5</v>
      </c>
      <c r="H35" s="10">
        <v>25</v>
      </c>
      <c r="I35" s="10">
        <v>20</v>
      </c>
      <c r="J35" s="10">
        <v>8</v>
      </c>
      <c r="K35" s="17">
        <f>SUM(F35:J35)</f>
        <v>84.5</v>
      </c>
    </row>
    <row r="36" spans="1:11" x14ac:dyDescent="0.25">
      <c r="A36" s="13" t="s">
        <v>1</v>
      </c>
      <c r="B36" s="13" t="s">
        <v>178</v>
      </c>
      <c r="C36" s="3" t="s">
        <v>127</v>
      </c>
      <c r="D36" s="3" t="s">
        <v>128</v>
      </c>
      <c r="E36" s="3" t="s">
        <v>48</v>
      </c>
      <c r="F36" s="10">
        <v>18</v>
      </c>
      <c r="G36" s="10">
        <v>25</v>
      </c>
      <c r="H36" s="10">
        <v>17.5</v>
      </c>
      <c r="I36" s="10">
        <v>18</v>
      </c>
      <c r="J36" s="10">
        <v>7</v>
      </c>
      <c r="K36" s="17">
        <f>SUM(F36:J36)</f>
        <v>85.5</v>
      </c>
    </row>
    <row r="37" spans="1:11" x14ac:dyDescent="0.25">
      <c r="A37" s="13" t="s">
        <v>1</v>
      </c>
      <c r="B37" s="13" t="s">
        <v>178</v>
      </c>
      <c r="C37" s="3" t="s">
        <v>9</v>
      </c>
      <c r="D37" s="3" t="s">
        <v>10</v>
      </c>
      <c r="E37" s="3" t="s">
        <v>11</v>
      </c>
      <c r="F37" s="8">
        <v>5</v>
      </c>
      <c r="G37" s="8">
        <v>5</v>
      </c>
      <c r="H37" s="8">
        <v>5</v>
      </c>
      <c r="I37" s="8">
        <v>5</v>
      </c>
      <c r="J37" s="8">
        <v>3</v>
      </c>
      <c r="K37" s="17">
        <f>SUM(F37:J37)</f>
        <v>23</v>
      </c>
    </row>
    <row r="38" spans="1:11" x14ac:dyDescent="0.25">
      <c r="A38" s="13" t="s">
        <v>1</v>
      </c>
      <c r="B38" s="13" t="s">
        <v>178</v>
      </c>
      <c r="C38" s="3" t="s">
        <v>12</v>
      </c>
      <c r="D38" s="3" t="s">
        <v>13</v>
      </c>
      <c r="E38" s="3" t="s">
        <v>14</v>
      </c>
      <c r="F38" s="8">
        <v>10</v>
      </c>
      <c r="G38" s="8">
        <v>20</v>
      </c>
      <c r="H38" s="8">
        <v>15</v>
      </c>
      <c r="I38" s="8">
        <v>10</v>
      </c>
      <c r="J38" s="8">
        <v>6</v>
      </c>
      <c r="K38" s="17">
        <f>SUM(F38:J38)</f>
        <v>61</v>
      </c>
    </row>
    <row r="39" spans="1:11" x14ac:dyDescent="0.25">
      <c r="A39" s="13" t="s">
        <v>1</v>
      </c>
      <c r="B39" s="13" t="s">
        <v>178</v>
      </c>
      <c r="C39" s="3" t="s">
        <v>15</v>
      </c>
      <c r="D39" s="3" t="s">
        <v>16</v>
      </c>
      <c r="E39" s="3" t="s">
        <v>17</v>
      </c>
      <c r="F39" s="8">
        <v>14</v>
      </c>
      <c r="G39" s="8">
        <v>21</v>
      </c>
      <c r="H39" s="8">
        <v>20</v>
      </c>
      <c r="I39" s="8">
        <v>15</v>
      </c>
      <c r="J39" s="8">
        <v>8</v>
      </c>
      <c r="K39" s="17">
        <f>SUM(F39:J39)</f>
        <v>78</v>
      </c>
    </row>
    <row r="40" spans="1:11" x14ac:dyDescent="0.25">
      <c r="A40" s="13" t="s">
        <v>1</v>
      </c>
      <c r="B40" s="13" t="s">
        <v>178</v>
      </c>
      <c r="C40" s="3" t="s">
        <v>18</v>
      </c>
      <c r="D40" s="3" t="s">
        <v>19</v>
      </c>
      <c r="E40" s="3" t="s">
        <v>20</v>
      </c>
      <c r="F40" s="8">
        <v>14</v>
      </c>
      <c r="G40" s="8">
        <v>24</v>
      </c>
      <c r="H40" s="8">
        <v>20</v>
      </c>
      <c r="I40" s="8">
        <v>15</v>
      </c>
      <c r="J40" s="8">
        <v>8</v>
      </c>
      <c r="K40" s="17">
        <f>SUM(F40:J40)</f>
        <v>81</v>
      </c>
    </row>
    <row r="41" spans="1:11" ht="15" customHeight="1" x14ac:dyDescent="0.25">
      <c r="A41" s="13" t="s">
        <v>1</v>
      </c>
      <c r="B41" s="13" t="s">
        <v>178</v>
      </c>
      <c r="C41" s="3" t="s">
        <v>21</v>
      </c>
      <c r="D41" s="3" t="s">
        <v>22</v>
      </c>
      <c r="E41" s="3" t="s">
        <v>23</v>
      </c>
      <c r="F41" s="8">
        <v>14</v>
      </c>
      <c r="G41" s="8">
        <v>20</v>
      </c>
      <c r="H41" s="8">
        <v>18</v>
      </c>
      <c r="I41" s="8">
        <v>15</v>
      </c>
      <c r="J41" s="8">
        <v>6</v>
      </c>
      <c r="K41" s="17">
        <f>SUM(F41:J41)</f>
        <v>73</v>
      </c>
    </row>
    <row r="42" spans="1:11" x14ac:dyDescent="0.25">
      <c r="A42" s="13" t="s">
        <v>1</v>
      </c>
      <c r="B42" s="13" t="s">
        <v>178</v>
      </c>
      <c r="C42" s="3" t="s">
        <v>24</v>
      </c>
      <c r="D42" s="3" t="s">
        <v>25</v>
      </c>
      <c r="E42" s="3" t="s">
        <v>26</v>
      </c>
      <c r="F42" s="8">
        <v>14</v>
      </c>
      <c r="G42" s="8">
        <v>21</v>
      </c>
      <c r="H42" s="8">
        <v>20</v>
      </c>
      <c r="I42" s="8">
        <v>12</v>
      </c>
      <c r="J42" s="8">
        <v>5</v>
      </c>
      <c r="K42" s="17">
        <f>SUM(F42:J42)</f>
        <v>72</v>
      </c>
    </row>
    <row r="43" spans="1:11" x14ac:dyDescent="0.25">
      <c r="A43" s="13" t="s">
        <v>1</v>
      </c>
      <c r="B43" s="13" t="s">
        <v>178</v>
      </c>
      <c r="C43" s="3" t="s">
        <v>27</v>
      </c>
      <c r="D43" s="3" t="s">
        <v>28</v>
      </c>
      <c r="E43" s="3" t="s">
        <v>29</v>
      </c>
      <c r="F43" s="8">
        <v>10</v>
      </c>
      <c r="G43" s="8">
        <v>18</v>
      </c>
      <c r="H43" s="8">
        <v>10</v>
      </c>
      <c r="I43" s="8">
        <v>15</v>
      </c>
      <c r="J43" s="8">
        <v>5</v>
      </c>
      <c r="K43" s="17">
        <f>SUM(F43:J43)</f>
        <v>58</v>
      </c>
    </row>
    <row r="44" spans="1:11" x14ac:dyDescent="0.25">
      <c r="A44" s="13" t="s">
        <v>1</v>
      </c>
      <c r="B44" s="13" t="s">
        <v>178</v>
      </c>
      <c r="C44" s="3" t="s">
        <v>30</v>
      </c>
      <c r="D44" s="3" t="s">
        <v>31</v>
      </c>
      <c r="E44" s="3" t="s">
        <v>32</v>
      </c>
      <c r="F44" s="8">
        <v>12</v>
      </c>
      <c r="G44" s="8">
        <v>18</v>
      </c>
      <c r="H44" s="8">
        <v>20</v>
      </c>
      <c r="I44" s="8">
        <v>15</v>
      </c>
      <c r="J44" s="8">
        <v>5</v>
      </c>
      <c r="K44" s="17">
        <f>SUM(F44:J44)</f>
        <v>70</v>
      </c>
    </row>
    <row r="45" spans="1:11" x14ac:dyDescent="0.25">
      <c r="A45" s="13" t="s">
        <v>1</v>
      </c>
      <c r="B45" s="13" t="s">
        <v>178</v>
      </c>
      <c r="C45" s="4" t="s">
        <v>129</v>
      </c>
      <c r="D45" s="5" t="s">
        <v>131</v>
      </c>
      <c r="E45" s="3" t="s">
        <v>133</v>
      </c>
      <c r="F45" s="8">
        <v>15</v>
      </c>
      <c r="G45" s="8">
        <v>22</v>
      </c>
      <c r="H45" s="8">
        <v>20</v>
      </c>
      <c r="I45" s="8">
        <v>15</v>
      </c>
      <c r="J45" s="8">
        <v>10</v>
      </c>
      <c r="K45" s="17">
        <f>SUM(F45:J45)</f>
        <v>82</v>
      </c>
    </row>
    <row r="46" spans="1:11" x14ac:dyDescent="0.25">
      <c r="A46" s="13" t="s">
        <v>1</v>
      </c>
      <c r="B46" s="13" t="s">
        <v>178</v>
      </c>
      <c r="C46" s="4" t="s">
        <v>130</v>
      </c>
      <c r="D46" s="5" t="s">
        <v>132</v>
      </c>
      <c r="E46" s="3" t="s">
        <v>134</v>
      </c>
      <c r="F46" s="8">
        <v>18</v>
      </c>
      <c r="G46" s="8">
        <v>10</v>
      </c>
      <c r="H46" s="8">
        <v>10</v>
      </c>
      <c r="I46" s="8">
        <v>14</v>
      </c>
      <c r="J46" s="8">
        <v>10</v>
      </c>
      <c r="K46" s="17">
        <f>SUM(F46:J46)</f>
        <v>62</v>
      </c>
    </row>
    <row r="47" spans="1:11" x14ac:dyDescent="0.25">
      <c r="A47" s="13" t="s">
        <v>1</v>
      </c>
      <c r="B47" s="13" t="s">
        <v>178</v>
      </c>
      <c r="C47" s="3" t="s">
        <v>100</v>
      </c>
      <c r="D47" s="3" t="s">
        <v>101</v>
      </c>
      <c r="E47" s="3" t="s">
        <v>102</v>
      </c>
      <c r="F47" s="9">
        <v>15.5</v>
      </c>
      <c r="G47" s="9">
        <v>22.5</v>
      </c>
      <c r="H47" s="9">
        <v>15.625</v>
      </c>
      <c r="I47" s="9">
        <v>14.5</v>
      </c>
      <c r="J47" s="9">
        <v>7.75</v>
      </c>
      <c r="K47" s="17">
        <f>SUM(F47:J47)</f>
        <v>75.875</v>
      </c>
    </row>
    <row r="48" spans="1:11" x14ac:dyDescent="0.25">
      <c r="A48" s="13" t="s">
        <v>1</v>
      </c>
      <c r="B48" s="13" t="s">
        <v>178</v>
      </c>
      <c r="C48" s="3" t="s">
        <v>103</v>
      </c>
      <c r="D48" s="3" t="s">
        <v>104</v>
      </c>
      <c r="E48" s="3" t="s">
        <v>105</v>
      </c>
      <c r="F48" s="9">
        <v>14</v>
      </c>
      <c r="G48" s="9">
        <v>20</v>
      </c>
      <c r="H48" s="9">
        <v>22.5</v>
      </c>
      <c r="I48" s="9">
        <v>13</v>
      </c>
      <c r="J48" s="9">
        <v>8</v>
      </c>
      <c r="K48" s="17">
        <f>SUM(F48:J48)</f>
        <v>77.5</v>
      </c>
    </row>
    <row r="49" spans="1:11" x14ac:dyDescent="0.25">
      <c r="A49" s="13" t="s">
        <v>1</v>
      </c>
      <c r="B49" s="13" t="s">
        <v>178</v>
      </c>
      <c r="C49" s="3" t="s">
        <v>106</v>
      </c>
      <c r="D49" s="3" t="s">
        <v>107</v>
      </c>
      <c r="E49" s="3" t="s">
        <v>108</v>
      </c>
      <c r="F49" s="9">
        <v>16.5</v>
      </c>
      <c r="G49" s="9">
        <v>15.625</v>
      </c>
      <c r="H49" s="9">
        <v>18.75</v>
      </c>
      <c r="I49" s="9">
        <v>14.5</v>
      </c>
      <c r="J49" s="9">
        <v>7.75</v>
      </c>
      <c r="K49" s="17">
        <f>SUM(F49:J49)</f>
        <v>73.125</v>
      </c>
    </row>
    <row r="50" spans="1:11" x14ac:dyDescent="0.25">
      <c r="A50" s="13" t="s">
        <v>1</v>
      </c>
      <c r="B50" s="13" t="s">
        <v>178</v>
      </c>
      <c r="C50" s="3" t="s">
        <v>109</v>
      </c>
      <c r="D50" s="3" t="s">
        <v>110</v>
      </c>
      <c r="E50" s="3" t="s">
        <v>111</v>
      </c>
      <c r="F50" s="9">
        <v>11</v>
      </c>
      <c r="G50" s="9">
        <v>23.75</v>
      </c>
      <c r="H50" s="9">
        <v>21.25</v>
      </c>
      <c r="I50" s="9">
        <v>15</v>
      </c>
      <c r="J50" s="9">
        <v>7</v>
      </c>
      <c r="K50" s="17">
        <f>SUM(F50:J50)</f>
        <v>78</v>
      </c>
    </row>
    <row r="51" spans="1:11" x14ac:dyDescent="0.25">
      <c r="A51" s="13" t="s">
        <v>1</v>
      </c>
      <c r="B51" s="13" t="s">
        <v>178</v>
      </c>
      <c r="C51" s="3" t="s">
        <v>112</v>
      </c>
      <c r="D51" s="3" t="s">
        <v>113</v>
      </c>
      <c r="E51" s="3" t="s">
        <v>114</v>
      </c>
      <c r="F51" s="9">
        <v>13</v>
      </c>
      <c r="G51" s="9">
        <v>15.625</v>
      </c>
      <c r="H51" s="9">
        <v>20</v>
      </c>
      <c r="I51" s="9">
        <v>14.5</v>
      </c>
      <c r="J51" s="9">
        <v>7</v>
      </c>
      <c r="K51" s="17">
        <f>SUM(F51:J51)</f>
        <v>70.125</v>
      </c>
    </row>
    <row r="52" spans="1:11" x14ac:dyDescent="0.25">
      <c r="A52" s="13" t="s">
        <v>1</v>
      </c>
      <c r="B52" s="13" t="s">
        <v>178</v>
      </c>
      <c r="C52" s="3" t="s">
        <v>115</v>
      </c>
      <c r="D52" s="3" t="s">
        <v>116</v>
      </c>
      <c r="E52" s="3" t="s">
        <v>117</v>
      </c>
      <c r="F52" s="9">
        <v>13</v>
      </c>
      <c r="G52" s="9">
        <v>11.25</v>
      </c>
      <c r="H52" s="9">
        <v>20</v>
      </c>
      <c r="I52" s="9">
        <v>13.5</v>
      </c>
      <c r="J52" s="9">
        <v>7</v>
      </c>
      <c r="K52" s="17">
        <f>SUM(F52:J52)</f>
        <v>64.75</v>
      </c>
    </row>
    <row r="53" spans="1:11" x14ac:dyDescent="0.25">
      <c r="A53" s="13" t="s">
        <v>1</v>
      </c>
      <c r="B53" s="13" t="s">
        <v>178</v>
      </c>
      <c r="C53" s="3" t="s">
        <v>118</v>
      </c>
      <c r="D53" s="3" t="s">
        <v>119</v>
      </c>
      <c r="E53" s="3" t="s">
        <v>120</v>
      </c>
      <c r="F53" s="9">
        <v>13</v>
      </c>
      <c r="G53" s="9">
        <v>18.75</v>
      </c>
      <c r="H53" s="9">
        <v>18.75</v>
      </c>
      <c r="I53" s="9">
        <v>13</v>
      </c>
      <c r="J53" s="9">
        <v>7</v>
      </c>
      <c r="K53" s="17">
        <f>SUM(F53:J53)</f>
        <v>70.5</v>
      </c>
    </row>
    <row r="54" spans="1:11" x14ac:dyDescent="0.25">
      <c r="A54" s="13" t="s">
        <v>1</v>
      </c>
      <c r="B54" s="13" t="s">
        <v>178</v>
      </c>
      <c r="C54" s="3" t="s">
        <v>121</v>
      </c>
      <c r="D54" s="3" t="s">
        <v>122</v>
      </c>
      <c r="E54" s="3" t="s">
        <v>123</v>
      </c>
      <c r="F54" s="9">
        <v>12.5</v>
      </c>
      <c r="G54" s="9">
        <v>17.5</v>
      </c>
      <c r="H54" s="9">
        <v>17.5</v>
      </c>
      <c r="I54" s="9">
        <v>17.5</v>
      </c>
      <c r="J54" s="9">
        <v>6.5</v>
      </c>
      <c r="K54" s="17">
        <f>SUM(F54:J54)</f>
        <v>71.5</v>
      </c>
    </row>
    <row r="55" spans="1:11" x14ac:dyDescent="0.25">
      <c r="A55" s="13" t="s">
        <v>1</v>
      </c>
      <c r="B55" s="13" t="s">
        <v>178</v>
      </c>
      <c r="C55" s="3" t="s">
        <v>135</v>
      </c>
      <c r="D55" s="3" t="s">
        <v>136</v>
      </c>
      <c r="E55" s="3" t="s">
        <v>137</v>
      </c>
      <c r="F55" s="8">
        <v>20</v>
      </c>
      <c r="G55" s="8">
        <v>23</v>
      </c>
      <c r="H55" s="8">
        <v>25</v>
      </c>
      <c r="I55" s="8">
        <v>15</v>
      </c>
      <c r="J55" s="8">
        <v>10</v>
      </c>
      <c r="K55" s="17">
        <f>SUM(F55:J55)</f>
        <v>93</v>
      </c>
    </row>
    <row r="56" spans="1:11" x14ac:dyDescent="0.25">
      <c r="A56" s="13" t="s">
        <v>1</v>
      </c>
      <c r="B56" s="13" t="s">
        <v>178</v>
      </c>
      <c r="C56" s="3" t="s">
        <v>138</v>
      </c>
      <c r="D56" s="3" t="s">
        <v>139</v>
      </c>
      <c r="E56" s="3" t="s">
        <v>140</v>
      </c>
      <c r="F56" s="8">
        <v>10</v>
      </c>
      <c r="G56" s="8">
        <v>0</v>
      </c>
      <c r="H56" s="8">
        <v>25</v>
      </c>
      <c r="I56" s="8">
        <v>7</v>
      </c>
      <c r="J56" s="8">
        <v>4</v>
      </c>
      <c r="K56" s="17">
        <f>SUM(F56:J56)</f>
        <v>46</v>
      </c>
    </row>
    <row r="57" spans="1:11" x14ac:dyDescent="0.25">
      <c r="A57" s="13" t="s">
        <v>1</v>
      </c>
      <c r="B57" s="13" t="s">
        <v>178</v>
      </c>
      <c r="C57" s="3" t="s">
        <v>57</v>
      </c>
      <c r="D57" s="3" t="s">
        <v>58</v>
      </c>
      <c r="E57" s="3" t="s">
        <v>59</v>
      </c>
      <c r="F57" s="8">
        <v>18</v>
      </c>
      <c r="G57" s="8">
        <v>15</v>
      </c>
      <c r="H57" s="8">
        <v>25</v>
      </c>
      <c r="I57" s="8">
        <v>10</v>
      </c>
      <c r="J57" s="8">
        <v>5</v>
      </c>
      <c r="K57" s="17">
        <f>SUM(F57:J57)</f>
        <v>73</v>
      </c>
    </row>
    <row r="58" spans="1:11" x14ac:dyDescent="0.25">
      <c r="A58" s="13" t="s">
        <v>1</v>
      </c>
      <c r="B58" s="13" t="s">
        <v>178</v>
      </c>
      <c r="C58" s="3" t="s">
        <v>60</v>
      </c>
      <c r="D58" s="3" t="s">
        <v>61</v>
      </c>
      <c r="E58" s="3" t="s">
        <v>23</v>
      </c>
      <c r="F58" s="8">
        <v>10</v>
      </c>
      <c r="G58" s="8">
        <v>18</v>
      </c>
      <c r="H58" s="8">
        <v>20</v>
      </c>
      <c r="I58" s="8">
        <v>7</v>
      </c>
      <c r="J58" s="8">
        <v>9</v>
      </c>
      <c r="K58" s="17">
        <f>SUM(F58:J58)</f>
        <v>64</v>
      </c>
    </row>
    <row r="59" spans="1:11" x14ac:dyDescent="0.25">
      <c r="A59" s="13" t="s">
        <v>1</v>
      </c>
      <c r="B59" s="13" t="s">
        <v>178</v>
      </c>
      <c r="C59" s="3" t="s">
        <v>62</v>
      </c>
      <c r="D59" s="3" t="s">
        <v>63</v>
      </c>
      <c r="E59" s="3" t="s">
        <v>64</v>
      </c>
      <c r="F59" s="8">
        <v>18</v>
      </c>
      <c r="G59" s="8">
        <v>10</v>
      </c>
      <c r="H59" s="8">
        <v>20</v>
      </c>
      <c r="I59" s="8">
        <v>10</v>
      </c>
      <c r="J59" s="8">
        <v>5</v>
      </c>
      <c r="K59" s="17">
        <f>SUM(F59:J59)</f>
        <v>63</v>
      </c>
    </row>
    <row r="60" spans="1:11" x14ac:dyDescent="0.25">
      <c r="A60" s="13" t="s">
        <v>1</v>
      </c>
      <c r="B60" s="13" t="s">
        <v>178</v>
      </c>
      <c r="C60" s="3" t="s">
        <v>65</v>
      </c>
      <c r="D60" s="3" t="s">
        <v>66</v>
      </c>
      <c r="E60" s="3" t="s">
        <v>67</v>
      </c>
      <c r="F60" s="8">
        <v>10</v>
      </c>
      <c r="G60" s="8">
        <v>15</v>
      </c>
      <c r="H60" s="8">
        <v>20</v>
      </c>
      <c r="I60" s="8">
        <v>7</v>
      </c>
      <c r="J60" s="8">
        <v>9</v>
      </c>
      <c r="K60" s="17">
        <f>SUM(F60:J60)</f>
        <v>61</v>
      </c>
    </row>
    <row r="61" spans="1:11" x14ac:dyDescent="0.25">
      <c r="A61" s="14" t="s">
        <v>1</v>
      </c>
      <c r="B61" s="13" t="s">
        <v>178</v>
      </c>
      <c r="C61" s="3" t="s">
        <v>68</v>
      </c>
      <c r="D61" s="3" t="s">
        <v>69</v>
      </c>
      <c r="E61" s="3" t="s">
        <v>70</v>
      </c>
      <c r="F61" s="8">
        <v>20</v>
      </c>
      <c r="G61" s="8">
        <v>20</v>
      </c>
      <c r="H61" s="8">
        <v>17</v>
      </c>
      <c r="I61" s="8">
        <v>20</v>
      </c>
      <c r="J61" s="8">
        <v>5</v>
      </c>
      <c r="K61" s="17">
        <f>SUM(F61:J61)</f>
        <v>82</v>
      </c>
    </row>
    <row r="62" spans="1:11" x14ac:dyDescent="0.25">
      <c r="A62" s="14" t="s">
        <v>1</v>
      </c>
      <c r="B62" s="13" t="s">
        <v>178</v>
      </c>
      <c r="C62" s="3" t="s">
        <v>71</v>
      </c>
      <c r="D62" s="3" t="s">
        <v>72</v>
      </c>
      <c r="E62" s="3" t="s">
        <v>70</v>
      </c>
      <c r="F62" s="8">
        <v>5</v>
      </c>
      <c r="G62" s="8">
        <v>5</v>
      </c>
      <c r="H62" s="8">
        <v>15</v>
      </c>
      <c r="I62" s="8">
        <v>15</v>
      </c>
      <c r="J62" s="8">
        <v>2</v>
      </c>
      <c r="K62" s="17">
        <f>SUM(F62:J62)</f>
        <v>42</v>
      </c>
    </row>
    <row r="63" spans="1:11" x14ac:dyDescent="0.25">
      <c r="A63" s="14" t="s">
        <v>1</v>
      </c>
      <c r="B63" s="13" t="s">
        <v>178</v>
      </c>
      <c r="C63" s="3" t="s">
        <v>76</v>
      </c>
      <c r="D63" s="3" t="s">
        <v>77</v>
      </c>
      <c r="E63" s="3" t="s">
        <v>32</v>
      </c>
      <c r="F63" s="8">
        <v>10</v>
      </c>
      <c r="G63" s="8">
        <v>0</v>
      </c>
      <c r="H63" s="8">
        <v>12</v>
      </c>
      <c r="I63" s="8">
        <v>10</v>
      </c>
      <c r="J63" s="8">
        <v>0</v>
      </c>
      <c r="K63" s="17">
        <f>SUM(F63:J63)</f>
        <v>32</v>
      </c>
    </row>
    <row r="64" spans="1:11" x14ac:dyDescent="0.25">
      <c r="A64" s="14" t="s">
        <v>1</v>
      </c>
      <c r="B64" s="13" t="s">
        <v>178</v>
      </c>
      <c r="C64" s="3" t="s">
        <v>78</v>
      </c>
      <c r="D64" s="3" t="s">
        <v>79</v>
      </c>
      <c r="E64" s="3" t="s">
        <v>80</v>
      </c>
      <c r="F64" s="8">
        <v>20</v>
      </c>
      <c r="G64" s="8">
        <v>20</v>
      </c>
      <c r="H64" s="8">
        <v>5</v>
      </c>
      <c r="I64" s="8">
        <v>20</v>
      </c>
      <c r="J64" s="8">
        <v>5</v>
      </c>
      <c r="K64" s="17">
        <f>SUM(F64:J64)</f>
        <v>70</v>
      </c>
    </row>
    <row r="65" spans="1:11" x14ac:dyDescent="0.25">
      <c r="A65" s="14" t="s">
        <v>1</v>
      </c>
      <c r="B65" s="13" t="s">
        <v>178</v>
      </c>
      <c r="C65" s="3" t="s">
        <v>34</v>
      </c>
      <c r="D65" s="3" t="s">
        <v>35</v>
      </c>
      <c r="E65" s="3" t="s">
        <v>36</v>
      </c>
      <c r="F65" s="8">
        <v>12</v>
      </c>
      <c r="G65" s="8">
        <v>15</v>
      </c>
      <c r="H65" s="8">
        <v>6</v>
      </c>
      <c r="I65" s="8">
        <v>15</v>
      </c>
      <c r="J65" s="8">
        <v>9.6000000000000014</v>
      </c>
      <c r="K65" s="17">
        <f>SUM(F65:J65)</f>
        <v>57.6</v>
      </c>
    </row>
    <row r="66" spans="1:11" x14ac:dyDescent="0.25">
      <c r="A66" s="14" t="s">
        <v>1</v>
      </c>
      <c r="B66" s="13" t="s">
        <v>178</v>
      </c>
      <c r="C66" s="3" t="s">
        <v>37</v>
      </c>
      <c r="D66" s="3" t="s">
        <v>38</v>
      </c>
      <c r="E66" s="3" t="s">
        <v>39</v>
      </c>
      <c r="F66" s="8">
        <v>7.5</v>
      </c>
      <c r="G66" s="8">
        <v>5</v>
      </c>
      <c r="H66" s="8">
        <v>5</v>
      </c>
      <c r="I66" s="8">
        <v>15</v>
      </c>
      <c r="J66" s="8">
        <v>8</v>
      </c>
      <c r="K66" s="17">
        <f>SUM(F66:J66)</f>
        <v>40.5</v>
      </c>
    </row>
    <row r="67" spans="1:11" x14ac:dyDescent="0.25">
      <c r="A67" s="14" t="s">
        <v>1</v>
      </c>
      <c r="B67" s="13" t="s">
        <v>178</v>
      </c>
      <c r="C67" s="3" t="s">
        <v>40</v>
      </c>
      <c r="D67" s="3" t="s">
        <v>41</v>
      </c>
      <c r="E67" s="3" t="s">
        <v>42</v>
      </c>
      <c r="F67" s="8">
        <v>6</v>
      </c>
      <c r="G67" s="8">
        <v>1</v>
      </c>
      <c r="H67" s="8">
        <v>5</v>
      </c>
      <c r="I67" s="8">
        <v>15</v>
      </c>
      <c r="J67" s="8">
        <v>6.4</v>
      </c>
      <c r="K67" s="17">
        <f>SUM(F67:J67)</f>
        <v>33.4</v>
      </c>
    </row>
    <row r="68" spans="1:11" x14ac:dyDescent="0.25">
      <c r="A68" s="14" t="s">
        <v>1</v>
      </c>
      <c r="B68" s="13" t="s">
        <v>178</v>
      </c>
      <c r="C68" s="3" t="s">
        <v>43</v>
      </c>
      <c r="D68" s="3" t="s">
        <v>44</v>
      </c>
      <c r="E68" s="3" t="s">
        <v>45</v>
      </c>
      <c r="F68" s="8">
        <v>7.5</v>
      </c>
      <c r="G68" s="8">
        <v>20</v>
      </c>
      <c r="H68" s="8">
        <v>20</v>
      </c>
      <c r="I68" s="8">
        <v>18</v>
      </c>
      <c r="J68" s="9">
        <v>10</v>
      </c>
      <c r="K68" s="17">
        <f>SUM(F68:J68)</f>
        <v>75.5</v>
      </c>
    </row>
    <row r="69" spans="1:11" x14ac:dyDescent="0.25">
      <c r="A69" s="14" t="s">
        <v>1</v>
      </c>
      <c r="B69" s="13" t="s">
        <v>178</v>
      </c>
      <c r="C69" s="3" t="s">
        <v>46</v>
      </c>
      <c r="D69" s="3" t="s">
        <v>47</v>
      </c>
      <c r="E69" s="3" t="s">
        <v>48</v>
      </c>
      <c r="F69" s="8">
        <v>4.5</v>
      </c>
      <c r="G69" s="8">
        <v>5</v>
      </c>
      <c r="H69" s="8">
        <v>5</v>
      </c>
      <c r="I69" s="8">
        <v>15</v>
      </c>
      <c r="J69" s="8">
        <v>8</v>
      </c>
      <c r="K69" s="17">
        <f>SUM(F69:J69)</f>
        <v>37.5</v>
      </c>
    </row>
    <row r="70" spans="1:11" x14ac:dyDescent="0.25">
      <c r="A70" s="14" t="s">
        <v>1</v>
      </c>
      <c r="B70" s="13" t="s">
        <v>178</v>
      </c>
      <c r="C70" s="3" t="s">
        <v>49</v>
      </c>
      <c r="D70" s="3" t="s">
        <v>50</v>
      </c>
      <c r="E70" s="3" t="s">
        <v>51</v>
      </c>
      <c r="F70" s="8">
        <v>4.5</v>
      </c>
      <c r="G70" s="8">
        <v>4</v>
      </c>
      <c r="H70" s="8">
        <v>5</v>
      </c>
      <c r="I70" s="8">
        <v>15</v>
      </c>
      <c r="J70" s="8">
        <v>9.6000000000000014</v>
      </c>
      <c r="K70" s="17">
        <f>SUM(F70:J70)</f>
        <v>38.1</v>
      </c>
    </row>
    <row r="71" spans="1:11" x14ac:dyDescent="0.25">
      <c r="A71" s="13" t="s">
        <v>1</v>
      </c>
      <c r="B71" s="13" t="s">
        <v>178</v>
      </c>
      <c r="C71" s="3" t="s">
        <v>52</v>
      </c>
      <c r="D71" s="3" t="s">
        <v>53</v>
      </c>
      <c r="E71" s="3" t="s">
        <v>20</v>
      </c>
      <c r="F71" s="8">
        <v>4.5</v>
      </c>
      <c r="G71" s="8">
        <v>4</v>
      </c>
      <c r="H71" s="8">
        <v>3</v>
      </c>
      <c r="I71" s="8">
        <v>15</v>
      </c>
      <c r="J71" s="8">
        <v>6.4</v>
      </c>
      <c r="K71" s="17">
        <f>SUM(F71:J71)</f>
        <v>32.9</v>
      </c>
    </row>
    <row r="72" spans="1:11" x14ac:dyDescent="0.25">
      <c r="A72" s="13" t="s">
        <v>1</v>
      </c>
      <c r="B72" s="13" t="s">
        <v>178</v>
      </c>
      <c r="C72" s="3" t="s">
        <v>54</v>
      </c>
      <c r="D72" s="3" t="s">
        <v>55</v>
      </c>
      <c r="E72" s="3" t="s">
        <v>56</v>
      </c>
      <c r="F72" s="8">
        <v>4.5</v>
      </c>
      <c r="G72" s="8">
        <v>3</v>
      </c>
      <c r="H72" s="8">
        <v>5</v>
      </c>
      <c r="I72" s="8">
        <v>15</v>
      </c>
      <c r="J72" s="8">
        <v>9.6000000000000014</v>
      </c>
      <c r="K72" s="17">
        <f>SUM(F72:J72)</f>
        <v>37.1</v>
      </c>
    </row>
    <row r="73" spans="1:11" x14ac:dyDescent="0.25">
      <c r="A73" s="13" t="s">
        <v>1</v>
      </c>
      <c r="B73" s="13" t="s">
        <v>178</v>
      </c>
      <c r="C73" s="7" t="s">
        <v>160</v>
      </c>
      <c r="D73" s="3" t="s">
        <v>161</v>
      </c>
      <c r="E73" s="3" t="s">
        <v>162</v>
      </c>
      <c r="F73" s="8">
        <v>3</v>
      </c>
      <c r="G73" s="8">
        <v>10</v>
      </c>
      <c r="H73" s="8">
        <v>20</v>
      </c>
      <c r="I73" s="8">
        <v>10</v>
      </c>
      <c r="J73" s="9">
        <v>10</v>
      </c>
      <c r="K73" s="17">
        <f>SUM(F73:J73)</f>
        <v>53</v>
      </c>
    </row>
    <row r="74" spans="1:11" x14ac:dyDescent="0.25">
      <c r="A74" s="13" t="s">
        <v>1</v>
      </c>
      <c r="B74" s="13" t="s">
        <v>178</v>
      </c>
      <c r="C74" s="7" t="s">
        <v>163</v>
      </c>
      <c r="D74" s="3" t="s">
        <v>164</v>
      </c>
      <c r="E74" s="3" t="s">
        <v>165</v>
      </c>
      <c r="F74" s="8">
        <v>4.5</v>
      </c>
      <c r="G74" s="8">
        <v>4</v>
      </c>
      <c r="H74" s="8">
        <v>3</v>
      </c>
      <c r="I74" s="8">
        <v>15</v>
      </c>
      <c r="J74" s="8">
        <v>6.4</v>
      </c>
      <c r="K74" s="17">
        <f>SUM(F74:J74)</f>
        <v>32.9</v>
      </c>
    </row>
    <row r="75" spans="1:11" x14ac:dyDescent="0.25">
      <c r="A75" s="13" t="s">
        <v>1</v>
      </c>
      <c r="B75" s="13" t="s">
        <v>178</v>
      </c>
      <c r="C75" s="3" t="s">
        <v>73</v>
      </c>
      <c r="D75" s="3" t="s">
        <v>74</v>
      </c>
      <c r="E75" s="3" t="s">
        <v>75</v>
      </c>
      <c r="F75" s="8">
        <v>5</v>
      </c>
      <c r="G75" s="8">
        <v>15</v>
      </c>
      <c r="H75" s="8">
        <v>15</v>
      </c>
      <c r="I75" s="8">
        <v>16</v>
      </c>
      <c r="J75" s="8">
        <v>7</v>
      </c>
      <c r="K75" s="17">
        <f>SUM(F75:J75)</f>
        <v>58</v>
      </c>
    </row>
    <row r="76" spans="1:11" x14ac:dyDescent="0.25">
      <c r="A76" s="13" t="s">
        <v>1</v>
      </c>
      <c r="B76" s="13" t="s">
        <v>178</v>
      </c>
      <c r="C76" s="3" t="s">
        <v>138</v>
      </c>
      <c r="D76" s="3" t="s">
        <v>139</v>
      </c>
      <c r="E76" s="3" t="s">
        <v>140</v>
      </c>
      <c r="F76" s="8">
        <v>7</v>
      </c>
      <c r="G76" s="8">
        <v>16</v>
      </c>
      <c r="H76" s="8">
        <v>15</v>
      </c>
      <c r="I76" s="8">
        <v>14</v>
      </c>
      <c r="J76" s="8">
        <v>7</v>
      </c>
      <c r="K76" s="17">
        <f>SUM(F76:J76)</f>
        <v>59</v>
      </c>
    </row>
    <row r="77" spans="1:11" x14ac:dyDescent="0.25">
      <c r="A77" s="13" t="s">
        <v>1</v>
      </c>
      <c r="B77" s="13" t="s">
        <v>178</v>
      </c>
      <c r="C77" s="3" t="s">
        <v>135</v>
      </c>
      <c r="D77" s="3" t="s">
        <v>136</v>
      </c>
      <c r="E77" s="3" t="s">
        <v>137</v>
      </c>
      <c r="F77" s="8">
        <v>12</v>
      </c>
      <c r="G77" s="8">
        <v>18</v>
      </c>
      <c r="H77" s="8">
        <v>17</v>
      </c>
      <c r="I77" s="8">
        <v>12</v>
      </c>
      <c r="J77" s="8">
        <v>8</v>
      </c>
      <c r="K77" s="17">
        <f>SUM(F77:J77)</f>
        <v>67</v>
      </c>
    </row>
    <row r="78" spans="1:11" x14ac:dyDescent="0.25">
      <c r="A78" s="13" t="s">
        <v>1</v>
      </c>
      <c r="B78" s="13" t="s">
        <v>178</v>
      </c>
      <c r="C78" s="3" t="s">
        <v>129</v>
      </c>
      <c r="D78" s="3" t="s">
        <v>131</v>
      </c>
      <c r="E78" s="3" t="s">
        <v>51</v>
      </c>
      <c r="F78" s="8">
        <v>2</v>
      </c>
      <c r="G78" s="8">
        <v>18</v>
      </c>
      <c r="H78" s="8">
        <v>17</v>
      </c>
      <c r="I78" s="8">
        <v>15</v>
      </c>
      <c r="J78" s="8">
        <v>8</v>
      </c>
      <c r="K78" s="17">
        <f>SUM(F78:J78)</f>
        <v>60</v>
      </c>
    </row>
    <row r="79" spans="1:11" ht="21.75" customHeight="1" x14ac:dyDescent="0.25">
      <c r="A79" s="13" t="s">
        <v>1</v>
      </c>
      <c r="B79" s="13" t="s">
        <v>178</v>
      </c>
      <c r="C79" s="3" t="s">
        <v>130</v>
      </c>
      <c r="D79" s="3" t="s">
        <v>132</v>
      </c>
      <c r="E79" s="3" t="s">
        <v>39</v>
      </c>
      <c r="F79" s="8">
        <v>18</v>
      </c>
      <c r="G79" s="8">
        <v>17</v>
      </c>
      <c r="H79" s="8">
        <v>18</v>
      </c>
      <c r="I79" s="8">
        <v>18</v>
      </c>
      <c r="J79" s="8">
        <v>6</v>
      </c>
      <c r="K79" s="17">
        <f>SUM(F79:J79)</f>
        <v>77</v>
      </c>
    </row>
    <row r="80" spans="1:11" x14ac:dyDescent="0.25">
      <c r="A80" s="14" t="s">
        <v>1</v>
      </c>
      <c r="B80" s="13" t="s">
        <v>178</v>
      </c>
      <c r="C80" s="3" t="s">
        <v>124</v>
      </c>
      <c r="D80" s="3" t="s">
        <v>125</v>
      </c>
      <c r="E80" s="3" t="s">
        <v>126</v>
      </c>
      <c r="F80" s="8">
        <v>12</v>
      </c>
      <c r="G80" s="8">
        <v>17</v>
      </c>
      <c r="H80" s="8">
        <v>18</v>
      </c>
      <c r="I80" s="8">
        <v>15</v>
      </c>
      <c r="J80" s="8">
        <v>6</v>
      </c>
      <c r="K80" s="17">
        <f>SUM(F80:J80)</f>
        <v>68</v>
      </c>
    </row>
    <row r="81" spans="1:11" x14ac:dyDescent="0.25">
      <c r="A81" s="14" t="s">
        <v>1</v>
      </c>
      <c r="B81" s="13" t="s">
        <v>178</v>
      </c>
      <c r="C81" s="3" t="s">
        <v>127</v>
      </c>
      <c r="D81" s="3" t="s">
        <v>128</v>
      </c>
      <c r="E81" s="3" t="s">
        <v>48</v>
      </c>
      <c r="F81" s="8">
        <v>18</v>
      </c>
      <c r="G81" s="8">
        <v>16</v>
      </c>
      <c r="H81" s="8">
        <v>18</v>
      </c>
      <c r="I81" s="8">
        <v>16</v>
      </c>
      <c r="J81" s="8">
        <v>7</v>
      </c>
      <c r="K81" s="17">
        <f>SUM(F81:J81)</f>
        <v>75</v>
      </c>
    </row>
    <row r="82" spans="1:11" x14ac:dyDescent="0.25">
      <c r="A82" s="14" t="s">
        <v>1</v>
      </c>
      <c r="B82" s="13" t="s">
        <v>178</v>
      </c>
      <c r="C82" s="3" t="s">
        <v>160</v>
      </c>
      <c r="D82" s="3" t="s">
        <v>161</v>
      </c>
      <c r="E82" s="3" t="s">
        <v>169</v>
      </c>
      <c r="F82" s="8">
        <v>18</v>
      </c>
      <c r="G82" s="8">
        <v>17</v>
      </c>
      <c r="H82" s="8">
        <v>18</v>
      </c>
      <c r="I82" s="8">
        <v>18</v>
      </c>
      <c r="J82" s="8">
        <v>9</v>
      </c>
      <c r="K82" s="17">
        <f>SUM(F82:J82)</f>
        <v>80</v>
      </c>
    </row>
    <row r="83" spans="1:11" x14ac:dyDescent="0.25">
      <c r="A83" s="14" t="s">
        <v>1</v>
      </c>
      <c r="B83" s="13" t="s">
        <v>178</v>
      </c>
      <c r="C83" s="3" t="s">
        <v>163</v>
      </c>
      <c r="D83" s="3" t="s">
        <v>164</v>
      </c>
      <c r="E83" s="3" t="s">
        <v>170</v>
      </c>
      <c r="F83" s="8">
        <v>20</v>
      </c>
      <c r="G83" s="8">
        <v>18</v>
      </c>
      <c r="H83" s="8">
        <v>20</v>
      </c>
      <c r="I83" s="8">
        <v>20</v>
      </c>
      <c r="J83" s="8">
        <v>9</v>
      </c>
      <c r="K83" s="17">
        <f>SUM(F83:J83)</f>
        <v>87</v>
      </c>
    </row>
    <row r="84" spans="1:11" x14ac:dyDescent="0.25">
      <c r="A84" s="14" t="s">
        <v>81</v>
      </c>
      <c r="B84" s="13" t="s">
        <v>179</v>
      </c>
      <c r="C84" s="3" t="s">
        <v>82</v>
      </c>
      <c r="D84" s="3" t="s">
        <v>83</v>
      </c>
      <c r="E84" s="3" t="s">
        <v>84</v>
      </c>
      <c r="F84" s="8">
        <v>13</v>
      </c>
      <c r="G84" s="8">
        <v>13</v>
      </c>
      <c r="H84" s="8">
        <v>14.000000000000002</v>
      </c>
      <c r="I84" s="8">
        <v>13</v>
      </c>
      <c r="J84" s="9">
        <v>6</v>
      </c>
      <c r="K84" s="17">
        <f>SUM(F84:J84)</f>
        <v>59</v>
      </c>
    </row>
    <row r="85" spans="1:11" x14ac:dyDescent="0.25">
      <c r="A85" s="14" t="s">
        <v>81</v>
      </c>
      <c r="B85" s="13" t="s">
        <v>179</v>
      </c>
      <c r="C85" s="3" t="s">
        <v>85</v>
      </c>
      <c r="D85" s="3" t="s">
        <v>86</v>
      </c>
      <c r="E85" s="3" t="s">
        <v>87</v>
      </c>
      <c r="F85" s="8">
        <v>13</v>
      </c>
      <c r="G85" s="8">
        <v>13</v>
      </c>
      <c r="H85" s="8">
        <v>12</v>
      </c>
      <c r="I85" s="8">
        <v>18</v>
      </c>
      <c r="J85" s="8">
        <v>9</v>
      </c>
      <c r="K85" s="17">
        <f>SUM(F85:J85)</f>
        <v>65</v>
      </c>
    </row>
    <row r="86" spans="1:11" x14ac:dyDescent="0.25">
      <c r="A86" s="14" t="s">
        <v>81</v>
      </c>
      <c r="B86" s="13" t="s">
        <v>179</v>
      </c>
      <c r="C86" s="3" t="s">
        <v>88</v>
      </c>
      <c r="D86" s="3" t="s">
        <v>89</v>
      </c>
      <c r="E86" s="3" t="s">
        <v>90</v>
      </c>
      <c r="F86" s="8">
        <v>15</v>
      </c>
      <c r="G86" s="8">
        <v>15</v>
      </c>
      <c r="H86" s="8">
        <v>18</v>
      </c>
      <c r="I86" s="8">
        <v>17</v>
      </c>
      <c r="J86" s="9">
        <v>7</v>
      </c>
      <c r="K86" s="17">
        <f>SUM(F86:J86)</f>
        <v>72</v>
      </c>
    </row>
    <row r="87" spans="1:11" x14ac:dyDescent="0.25">
      <c r="A87" s="14" t="s">
        <v>81</v>
      </c>
      <c r="B87" s="13" t="s">
        <v>179</v>
      </c>
      <c r="C87" s="3" t="s">
        <v>91</v>
      </c>
      <c r="D87" s="3" t="s">
        <v>92</v>
      </c>
      <c r="E87" s="3" t="s">
        <v>93</v>
      </c>
      <c r="F87" s="8">
        <v>14.000000000000002</v>
      </c>
      <c r="G87" s="8">
        <v>13</v>
      </c>
      <c r="H87" s="8">
        <v>16</v>
      </c>
      <c r="I87" s="8">
        <v>13</v>
      </c>
      <c r="J87" s="9" t="s">
        <v>171</v>
      </c>
      <c r="K87" s="17">
        <f>SUM(F87:J87)</f>
        <v>56</v>
      </c>
    </row>
    <row r="88" spans="1:11" x14ac:dyDescent="0.25">
      <c r="A88" s="14" t="s">
        <v>81</v>
      </c>
      <c r="B88" s="13" t="s">
        <v>179</v>
      </c>
      <c r="C88" s="3" t="s">
        <v>94</v>
      </c>
      <c r="D88" s="3" t="s">
        <v>95</v>
      </c>
      <c r="E88" s="3" t="s">
        <v>96</v>
      </c>
      <c r="F88" s="8">
        <v>15</v>
      </c>
      <c r="G88" s="8">
        <v>16</v>
      </c>
      <c r="H88" s="8">
        <v>17</v>
      </c>
      <c r="I88" s="8">
        <v>15</v>
      </c>
      <c r="J88" s="9">
        <v>7</v>
      </c>
      <c r="K88" s="17">
        <f>SUM(F88:J88)</f>
        <v>70</v>
      </c>
    </row>
    <row r="89" spans="1:11" x14ac:dyDescent="0.25">
      <c r="A89" s="14" t="s">
        <v>81</v>
      </c>
      <c r="B89" s="13" t="s">
        <v>179</v>
      </c>
      <c r="C89" s="3" t="s">
        <v>97</v>
      </c>
      <c r="D89" s="3" t="s">
        <v>98</v>
      </c>
      <c r="E89" s="3" t="s">
        <v>99</v>
      </c>
      <c r="F89" s="8">
        <v>9</v>
      </c>
      <c r="G89" s="8">
        <v>11</v>
      </c>
      <c r="H89" s="8">
        <v>11</v>
      </c>
      <c r="I89" s="8">
        <v>10</v>
      </c>
      <c r="J89" s="8">
        <v>8</v>
      </c>
      <c r="K89" s="17">
        <f>SUM(F89:J89)</f>
        <v>49</v>
      </c>
    </row>
    <row r="90" spans="1:11" x14ac:dyDescent="0.25">
      <c r="A90" s="13" t="s">
        <v>81</v>
      </c>
      <c r="B90" s="13" t="s">
        <v>179</v>
      </c>
      <c r="C90" s="3" t="s">
        <v>141</v>
      </c>
      <c r="D90" s="3" t="s">
        <v>142</v>
      </c>
      <c r="E90" s="3" t="s">
        <v>143</v>
      </c>
      <c r="F90" s="11">
        <v>10</v>
      </c>
      <c r="G90" s="11">
        <v>15</v>
      </c>
      <c r="H90" s="11">
        <v>15</v>
      </c>
      <c r="I90" s="11">
        <v>10</v>
      </c>
      <c r="J90" s="11">
        <v>5</v>
      </c>
      <c r="K90" s="17">
        <f>SUM(F90:J90)</f>
        <v>55</v>
      </c>
    </row>
    <row r="91" spans="1:11" x14ac:dyDescent="0.25">
      <c r="A91" s="13" t="s">
        <v>81</v>
      </c>
      <c r="B91" s="13" t="s">
        <v>179</v>
      </c>
      <c r="C91" s="3" t="s">
        <v>144</v>
      </c>
      <c r="D91" s="3" t="s">
        <v>145</v>
      </c>
      <c r="E91" s="3" t="s">
        <v>120</v>
      </c>
      <c r="F91" s="11">
        <v>5</v>
      </c>
      <c r="G91" s="11">
        <v>10</v>
      </c>
      <c r="H91" s="11">
        <v>5</v>
      </c>
      <c r="I91" s="11">
        <v>5</v>
      </c>
      <c r="J91" s="11">
        <v>5</v>
      </c>
      <c r="K91" s="17">
        <f>SUM(F91:J91)</f>
        <v>30</v>
      </c>
    </row>
    <row r="92" spans="1:11" x14ac:dyDescent="0.25">
      <c r="A92" s="13" t="s">
        <v>81</v>
      </c>
      <c r="B92" s="13" t="s">
        <v>179</v>
      </c>
      <c r="C92" s="3" t="s">
        <v>146</v>
      </c>
      <c r="D92" s="3" t="s">
        <v>147</v>
      </c>
      <c r="E92" s="3" t="s">
        <v>148</v>
      </c>
      <c r="F92" s="11">
        <v>5</v>
      </c>
      <c r="G92" s="11">
        <v>5</v>
      </c>
      <c r="H92" s="11">
        <v>5</v>
      </c>
      <c r="I92" s="11">
        <v>2</v>
      </c>
      <c r="J92" s="11">
        <v>5</v>
      </c>
      <c r="K92" s="17">
        <f>SUM(F92:J92)</f>
        <v>22</v>
      </c>
    </row>
    <row r="93" spans="1:11" x14ac:dyDescent="0.25">
      <c r="A93" s="13" t="s">
        <v>81</v>
      </c>
      <c r="B93" s="13" t="s">
        <v>179</v>
      </c>
      <c r="C93" s="3" t="s">
        <v>149</v>
      </c>
      <c r="D93" s="3" t="s">
        <v>150</v>
      </c>
      <c r="E93" s="3" t="s">
        <v>151</v>
      </c>
      <c r="F93" s="11">
        <v>5</v>
      </c>
      <c r="G93" s="11">
        <v>10</v>
      </c>
      <c r="H93" s="11">
        <v>5</v>
      </c>
      <c r="I93" s="11">
        <v>5</v>
      </c>
      <c r="J93" s="11">
        <v>5</v>
      </c>
      <c r="K93" s="17">
        <f>SUM(F93:J93)</f>
        <v>30</v>
      </c>
    </row>
    <row r="94" spans="1:11" x14ac:dyDescent="0.25">
      <c r="A94" s="13" t="s">
        <v>81</v>
      </c>
      <c r="B94" s="13" t="s">
        <v>179</v>
      </c>
      <c r="C94" s="3" t="s">
        <v>152</v>
      </c>
      <c r="D94" s="3" t="s">
        <v>153</v>
      </c>
      <c r="E94" s="3" t="s">
        <v>154</v>
      </c>
      <c r="F94" s="11">
        <v>15</v>
      </c>
      <c r="G94" s="11">
        <v>20</v>
      </c>
      <c r="H94" s="11">
        <v>20</v>
      </c>
      <c r="I94" s="11">
        <v>15</v>
      </c>
      <c r="J94" s="11">
        <v>8</v>
      </c>
      <c r="K94" s="17">
        <f>SUM(F94:J94)</f>
        <v>78</v>
      </c>
    </row>
    <row r="95" spans="1:11" x14ac:dyDescent="0.25">
      <c r="A95" s="13" t="s">
        <v>81</v>
      </c>
      <c r="B95" s="13" t="s">
        <v>179</v>
      </c>
      <c r="C95" s="3" t="s">
        <v>155</v>
      </c>
      <c r="D95" s="3" t="s">
        <v>156</v>
      </c>
      <c r="E95" s="3" t="s">
        <v>17</v>
      </c>
      <c r="F95" s="11">
        <v>15</v>
      </c>
      <c r="G95" s="11">
        <v>20</v>
      </c>
      <c r="H95" s="11">
        <v>20</v>
      </c>
      <c r="I95" s="11">
        <v>20</v>
      </c>
      <c r="J95" s="11">
        <v>5</v>
      </c>
      <c r="K95" s="17">
        <f>SUM(F95:J95)</f>
        <v>80</v>
      </c>
    </row>
    <row r="96" spans="1:11" x14ac:dyDescent="0.25">
      <c r="A96" s="13" t="s">
        <v>81</v>
      </c>
      <c r="B96" s="13" t="s">
        <v>179</v>
      </c>
      <c r="C96" s="3" t="s">
        <v>94</v>
      </c>
      <c r="D96" s="3" t="s">
        <v>157</v>
      </c>
      <c r="E96" s="3" t="s">
        <v>96</v>
      </c>
      <c r="F96" s="8">
        <v>10</v>
      </c>
      <c r="G96" s="8">
        <v>10</v>
      </c>
      <c r="H96" s="8">
        <v>15</v>
      </c>
      <c r="I96" s="8">
        <v>10</v>
      </c>
      <c r="J96" s="8">
        <v>5</v>
      </c>
      <c r="K96" s="17">
        <f>SUM(F96:J96)</f>
        <v>50</v>
      </c>
    </row>
    <row r="97" spans="1:11" x14ac:dyDescent="0.25">
      <c r="A97" s="13" t="s">
        <v>81</v>
      </c>
      <c r="B97" s="13" t="s">
        <v>179</v>
      </c>
      <c r="C97" s="3" t="s">
        <v>97</v>
      </c>
      <c r="D97" s="3" t="s">
        <v>158</v>
      </c>
      <c r="E97" s="3" t="s">
        <v>99</v>
      </c>
      <c r="F97" s="8">
        <v>10</v>
      </c>
      <c r="G97" s="8">
        <v>5</v>
      </c>
      <c r="H97" s="8">
        <v>5</v>
      </c>
      <c r="I97" s="8">
        <v>5</v>
      </c>
      <c r="J97" s="8">
        <v>5</v>
      </c>
      <c r="K97" s="17">
        <f>SUM(F97:J97)</f>
        <v>30</v>
      </c>
    </row>
    <row r="98" spans="1:11" x14ac:dyDescent="0.25">
      <c r="A98" s="13" t="s">
        <v>81</v>
      </c>
      <c r="B98" s="13" t="s">
        <v>179</v>
      </c>
      <c r="C98" s="3" t="s">
        <v>91</v>
      </c>
      <c r="D98" s="3" t="s">
        <v>159</v>
      </c>
      <c r="E98" s="3" t="s">
        <v>93</v>
      </c>
      <c r="F98" s="8">
        <v>10</v>
      </c>
      <c r="G98" s="8">
        <v>15</v>
      </c>
      <c r="H98" s="8">
        <v>10</v>
      </c>
      <c r="I98" s="8">
        <v>10</v>
      </c>
      <c r="J98" s="8">
        <v>5</v>
      </c>
      <c r="K98" s="17">
        <f>SUM(F98:J98)</f>
        <v>50</v>
      </c>
    </row>
    <row r="99" spans="1:11" x14ac:dyDescent="0.25">
      <c r="A99" s="15" t="s">
        <v>81</v>
      </c>
      <c r="B99" s="13" t="s">
        <v>179</v>
      </c>
      <c r="C99" s="6" t="s">
        <v>141</v>
      </c>
      <c r="D99" s="6" t="s">
        <v>142</v>
      </c>
      <c r="E99" s="6" t="s">
        <v>143</v>
      </c>
      <c r="F99" s="12">
        <v>15</v>
      </c>
      <c r="G99" s="12">
        <v>18</v>
      </c>
      <c r="H99" s="12">
        <v>15</v>
      </c>
      <c r="I99" s="12">
        <v>8</v>
      </c>
      <c r="J99" s="12">
        <v>7</v>
      </c>
      <c r="K99" s="17">
        <f>SUM(F99:J99)</f>
        <v>63</v>
      </c>
    </row>
    <row r="100" spans="1:11" x14ac:dyDescent="0.25">
      <c r="A100" s="15" t="s">
        <v>81</v>
      </c>
      <c r="B100" s="13" t="s">
        <v>179</v>
      </c>
      <c r="C100" s="3" t="s">
        <v>144</v>
      </c>
      <c r="D100" s="3" t="s">
        <v>145</v>
      </c>
      <c r="E100" s="3" t="s">
        <v>120</v>
      </c>
      <c r="F100" s="8">
        <v>16</v>
      </c>
      <c r="G100" s="8">
        <v>25</v>
      </c>
      <c r="H100" s="8">
        <v>25</v>
      </c>
      <c r="I100" s="8">
        <v>15</v>
      </c>
      <c r="J100" s="8">
        <v>5</v>
      </c>
      <c r="K100" s="17">
        <f>SUM(F100:J100)</f>
        <v>86</v>
      </c>
    </row>
    <row r="101" spans="1:11" x14ac:dyDescent="0.25">
      <c r="A101" s="15" t="s">
        <v>81</v>
      </c>
      <c r="B101" s="13" t="s">
        <v>179</v>
      </c>
      <c r="C101" s="3" t="s">
        <v>146</v>
      </c>
      <c r="D101" s="3" t="s">
        <v>147</v>
      </c>
      <c r="E101" s="3" t="s">
        <v>148</v>
      </c>
      <c r="F101" s="8">
        <v>13</v>
      </c>
      <c r="G101" s="8">
        <v>16</v>
      </c>
      <c r="H101" s="8">
        <v>15</v>
      </c>
      <c r="I101" s="8">
        <v>12</v>
      </c>
      <c r="J101" s="8">
        <v>6</v>
      </c>
      <c r="K101" s="17">
        <f>SUM(F101:J101)</f>
        <v>62</v>
      </c>
    </row>
    <row r="102" spans="1:11" x14ac:dyDescent="0.25">
      <c r="A102" s="15" t="s">
        <v>81</v>
      </c>
      <c r="B102" s="13" t="s">
        <v>179</v>
      </c>
      <c r="C102" s="3" t="s">
        <v>149</v>
      </c>
      <c r="D102" s="3" t="s">
        <v>150</v>
      </c>
      <c r="E102" s="3" t="s">
        <v>151</v>
      </c>
      <c r="F102" s="8">
        <v>12</v>
      </c>
      <c r="G102" s="8">
        <v>20</v>
      </c>
      <c r="H102" s="8">
        <v>23</v>
      </c>
      <c r="I102" s="8">
        <v>15</v>
      </c>
      <c r="J102" s="8">
        <v>7</v>
      </c>
      <c r="K102" s="17">
        <f>SUM(F102:J102)</f>
        <v>77</v>
      </c>
    </row>
    <row r="103" spans="1:11" x14ac:dyDescent="0.25">
      <c r="A103" s="15" t="s">
        <v>81</v>
      </c>
      <c r="B103" s="13" t="s">
        <v>179</v>
      </c>
      <c r="C103" s="3" t="s">
        <v>152</v>
      </c>
      <c r="D103" s="3" t="s">
        <v>153</v>
      </c>
      <c r="E103" s="3" t="s">
        <v>154</v>
      </c>
      <c r="F103" s="8">
        <v>20</v>
      </c>
      <c r="G103" s="8">
        <v>25</v>
      </c>
      <c r="H103" s="8">
        <v>25</v>
      </c>
      <c r="I103" s="8">
        <v>20</v>
      </c>
      <c r="J103" s="8">
        <v>8</v>
      </c>
      <c r="K103" s="17">
        <f>SUM(F103:J103)</f>
        <v>98</v>
      </c>
    </row>
    <row r="104" spans="1:11" x14ac:dyDescent="0.25">
      <c r="A104" s="15" t="s">
        <v>81</v>
      </c>
      <c r="B104" s="13" t="s">
        <v>179</v>
      </c>
      <c r="C104" s="3" t="s">
        <v>155</v>
      </c>
      <c r="D104" s="3" t="s">
        <v>156</v>
      </c>
      <c r="E104" s="3" t="s">
        <v>17</v>
      </c>
      <c r="F104" s="8">
        <v>16</v>
      </c>
      <c r="G104" s="8">
        <v>25</v>
      </c>
      <c r="H104" s="8">
        <v>20</v>
      </c>
      <c r="I104" s="8">
        <v>18</v>
      </c>
      <c r="J104" s="8">
        <v>10</v>
      </c>
      <c r="K104" s="17">
        <f>SUM(F104:J104)</f>
        <v>89</v>
      </c>
    </row>
    <row r="105" spans="1:11" x14ac:dyDescent="0.25">
      <c r="A105" s="15" t="s">
        <v>81</v>
      </c>
      <c r="B105" s="13" t="s">
        <v>179</v>
      </c>
      <c r="C105" s="3" t="s">
        <v>82</v>
      </c>
      <c r="D105" s="3" t="s">
        <v>166</v>
      </c>
      <c r="E105" s="3" t="s">
        <v>84</v>
      </c>
      <c r="F105" s="8">
        <v>20</v>
      </c>
      <c r="G105" s="8">
        <v>20</v>
      </c>
      <c r="H105" s="8">
        <v>18</v>
      </c>
      <c r="I105" s="8">
        <v>10</v>
      </c>
      <c r="J105" s="8">
        <v>6</v>
      </c>
      <c r="K105" s="17">
        <f>SUM(F105:J105)</f>
        <v>74</v>
      </c>
    </row>
    <row r="106" spans="1:11" x14ac:dyDescent="0.25">
      <c r="A106" s="15" t="s">
        <v>81</v>
      </c>
      <c r="B106" s="13" t="s">
        <v>179</v>
      </c>
      <c r="C106" s="3" t="s">
        <v>88</v>
      </c>
      <c r="D106" s="3" t="s">
        <v>167</v>
      </c>
      <c r="E106" s="3" t="s">
        <v>90</v>
      </c>
      <c r="F106" s="8">
        <v>20</v>
      </c>
      <c r="G106" s="8">
        <v>22</v>
      </c>
      <c r="H106" s="8">
        <v>25</v>
      </c>
      <c r="I106" s="8">
        <v>18</v>
      </c>
      <c r="J106" s="8">
        <v>10</v>
      </c>
      <c r="K106" s="17">
        <f>SUM(F106:J106)</f>
        <v>95</v>
      </c>
    </row>
    <row r="107" spans="1:11" x14ac:dyDescent="0.25">
      <c r="A107" s="15" t="s">
        <v>81</v>
      </c>
      <c r="B107" s="13" t="s">
        <v>179</v>
      </c>
      <c r="C107" s="3" t="s">
        <v>85</v>
      </c>
      <c r="D107" s="3" t="s">
        <v>168</v>
      </c>
      <c r="E107" s="3" t="s">
        <v>87</v>
      </c>
      <c r="F107" s="8">
        <v>20</v>
      </c>
      <c r="G107" s="8">
        <v>25</v>
      </c>
      <c r="H107" s="8">
        <v>25</v>
      </c>
      <c r="I107" s="8">
        <v>20</v>
      </c>
      <c r="J107" s="8">
        <v>10</v>
      </c>
      <c r="K107" s="17">
        <f>SUM(F107:J107)</f>
        <v>100</v>
      </c>
    </row>
  </sheetData>
  <sortState xmlns:xlrd2="http://schemas.microsoft.com/office/spreadsheetml/2017/richdata2" ref="A2:K107">
    <sortCondition ref="A1:A107"/>
  </sortState>
  <phoneticPr fontId="3" type="noConversion"/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DatosAgregados</vt:lpstr>
      <vt:lpstr>DatosDesagregados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Bogarín Vega</dc:creator>
  <cp:lastModifiedBy>Alejandro Bogarín Vega</cp:lastModifiedBy>
  <cp:lastPrinted>2023-11-27T22:02:46Z</cp:lastPrinted>
  <dcterms:created xsi:type="dcterms:W3CDTF">2023-11-27T21:47:45Z</dcterms:created>
  <dcterms:modified xsi:type="dcterms:W3CDTF">2026-01-18T11:50:51Z</dcterms:modified>
</cp:coreProperties>
</file>